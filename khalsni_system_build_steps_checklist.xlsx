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hassan\"/>
    </mc:Choice>
  </mc:AlternateContent>
  <xr:revisionPtr revIDLastSave="0" documentId="13_ncr:1_{1CFADF1D-0B52-4691-A52A-0BA859B8A33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shboard" sheetId="1" r:id="rId1"/>
    <sheet name="Master Roadmap" sheetId="2" r:id="rId2"/>
    <sheet name="Backend Build" sheetId="3" r:id="rId3"/>
    <sheet name="UI Screens" sheetId="4" r:id="rId4"/>
    <sheet name="Workflow Logic" sheetId="5" r:id="rId5"/>
    <sheet name="Security Checklist" sheetId="6" r:id="rId6"/>
    <sheet name="Testing QA" sheetId="7" r:id="rId7"/>
    <sheet name="Deployment" sheetId="8" r:id="rId8"/>
    <sheet name="Missing Decision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<sst xmlns="http://schemas.openxmlformats.org/spreadsheetml/2006/main" count="1741" uniqueCount="575">
  <si>
    <t>Khalsni System Build Plan - Production Checklist</t>
  </si>
  <si>
    <t>Generated: 2026-05-04</t>
  </si>
  <si>
    <t>Area</t>
  </si>
  <si>
    <t>Total Tasks</t>
  </si>
  <si>
    <t>Not Started</t>
  </si>
  <si>
    <t>In Progress</t>
  </si>
  <si>
    <t>Blocked</t>
  </si>
  <si>
    <t>Done</t>
  </si>
  <si>
    <t>High Priority</t>
  </si>
  <si>
    <t>Critical Priority</t>
  </si>
  <si>
    <t>Backend Build</t>
  </si>
  <si>
    <t>UI Screens</t>
  </si>
  <si>
    <t>Workflow Logic</t>
  </si>
  <si>
    <t>Security Checklist</t>
  </si>
  <si>
    <t>Testing QA</t>
  </si>
  <si>
    <t>Deployment</t>
  </si>
  <si>
    <t>Missing Decisions</t>
  </si>
  <si>
    <t>Recommended Build Order</t>
  </si>
  <si>
    <t>1</t>
  </si>
  <si>
    <t>Freeze models and migrations</t>
  </si>
  <si>
    <t>2</t>
  </si>
  <si>
    <t>Seed roles, permissions, service categories, and demo data</t>
  </si>
  <si>
    <t>3</t>
  </si>
  <si>
    <t>Implement selectors and permission helpers</t>
  </si>
  <si>
    <t>4</t>
  </si>
  <si>
    <t>Implement workflow transition service and audit logs</t>
  </si>
  <si>
    <t>5</t>
  </si>
  <si>
    <t>Implement document upload/verification security</t>
  </si>
  <si>
    <t>6</t>
  </si>
  <si>
    <t>Implement notifications and reports</t>
  </si>
  <si>
    <t>7</t>
  </si>
  <si>
    <t>Build UI screens using permission checks</t>
  </si>
  <si>
    <t>8</t>
  </si>
  <si>
    <t>Write tests for roles, object access, workflow, and files</t>
  </si>
  <si>
    <t>9</t>
  </si>
  <si>
    <t>Deploy staging with PostgreSQL, media storage, logs, backups</t>
  </si>
  <si>
    <t>10</t>
  </si>
  <si>
    <t>User acceptance testing before production launch</t>
  </si>
  <si>
    <t>ID</t>
  </si>
  <si>
    <t>Phase</t>
  </si>
  <si>
    <t>Task</t>
  </si>
  <si>
    <t>Details</t>
  </si>
  <si>
    <t>App/Module</t>
  </si>
  <si>
    <t>Output/Artifact</t>
  </si>
  <si>
    <t>Priority</t>
  </si>
  <si>
    <t>Status</t>
  </si>
  <si>
    <t>Dependency</t>
  </si>
  <si>
    <t>Acceptance Criteria</t>
  </si>
  <si>
    <t>BE-001</t>
  </si>
  <si>
    <t>Foundation</t>
  </si>
  <si>
    <t>Create Django app structure</t>
  </si>
  <si>
    <t>Create apps: core, accounts, services, orders, documents, workflow, notifications, reports. Keep business logic out of views.</t>
  </si>
  <si>
    <t>Project</t>
  </si>
  <si>
    <t>Apps created and added to INSTALLED_APPS</t>
  </si>
  <si>
    <t>Critical</t>
  </si>
  <si>
    <t>Project imports without errors</t>
  </si>
  <si>
    <t>BE-002</t>
  </si>
  <si>
    <t>Create core choices/constants</t>
  </si>
  <si>
    <t>Define UserRole, OrderStatus, DocumentType, NotificationType, PaymentStatus, Priority constants using TextChoices.</t>
  </si>
  <si>
    <t>core</t>
  </si>
  <si>
    <t>core/choices.py</t>
  </si>
  <si>
    <t>No hardcoded status strings in models/services/views</t>
  </si>
  <si>
    <t>BE-003</t>
  </si>
  <si>
    <t>Models</t>
  </si>
  <si>
    <t>Finalize service models</t>
  </si>
  <si>
    <t>ServiceCategory, Service, ServiceRequiredDocument, ServicePricingRule if needed. Include active flags and ordering.</t>
  </si>
  <si>
    <t>services</t>
  </si>
  <si>
    <t>services/models.py</t>
  </si>
  <si>
    <t>Admin can create service, define required docs, and deactivate service safely</t>
  </si>
  <si>
    <t>BE-004</t>
  </si>
  <si>
    <t>Finalize order models</t>
  </si>
  <si>
    <t>Order, OrderAssignment, OrderNote, OrderStatusHistory or audit log fields. Include client, service, status, assigned employee/provider, dates, pricing fields.</t>
  </si>
  <si>
    <t>orders</t>
  </si>
  <si>
    <t>orders/models.py</t>
  </si>
  <si>
    <t>BE-002, BE-003</t>
  </si>
  <si>
    <t>Order lifecycle supports all workflow statuses</t>
  </si>
  <si>
    <t>BE-005</t>
  </si>
  <si>
    <t>Finalize document models</t>
  </si>
  <si>
    <t>Secure file model with original filename, safe stored filename, MIME, size, document type, verification status, final document flag.</t>
  </si>
  <si>
    <t>documents</t>
  </si>
  <si>
    <t>documents/models.py</t>
  </si>
  <si>
    <t>Documents are linked to order and user, with verification state</t>
  </si>
  <si>
    <t>BE-006</t>
  </si>
  <si>
    <t>Create audit log model</t>
  </si>
  <si>
    <t>Log actor, action, old_status, new_status, metadata, IP/user agent optional, timestamp.</t>
  </si>
  <si>
    <t>orders/reports</t>
  </si>
  <si>
    <t>OrderAuditLog model</t>
  </si>
  <si>
    <t>Every important order action creates audit log</t>
  </si>
  <si>
    <t>BE-007</t>
  </si>
  <si>
    <t>Create notification model</t>
  </si>
  <si>
    <t>Recipient, title, message, related order, type, read flag, channel, timestamp.</t>
  </si>
  <si>
    <t>notifications</t>
  </si>
  <si>
    <t>Notification model</t>
  </si>
  <si>
    <t>High</t>
  </si>
  <si>
    <t>Users can receive and read system notifications</t>
  </si>
  <si>
    <t>BE-008</t>
  </si>
  <si>
    <t>Migrations</t>
  </si>
  <si>
    <t>Run and review migrations</t>
  </si>
  <si>
    <t>Generate migrations after model finalization; inspect SQL if needed before applying.</t>
  </si>
  <si>
    <t>All apps</t>
  </si>
  <si>
    <t>Migration files</t>
  </si>
  <si>
    <t>BE-003 to BE-007</t>
  </si>
  <si>
    <t>Migrations apply cleanly on empty DB</t>
  </si>
  <si>
    <t>BE-009</t>
  </si>
  <si>
    <t>Permissions</t>
  </si>
  <si>
    <t>Create role setup command</t>
  </si>
  <si>
    <t>Create groups: client, employee, provider, admin. Assign permissions from production permission matrix.</t>
  </si>
  <si>
    <t>accounts</t>
  </si>
  <si>
    <t>setup_roles command</t>
  </si>
  <si>
    <t>Running command seeds all groups and permissions</t>
  </si>
  <si>
    <t>BE-010</t>
  </si>
  <si>
    <t>Create permission helpers</t>
  </si>
  <si>
    <t>Reusable functions: is_admin, is_employee, is_provider, is_client, can_view_order, can_edit_order, can_download_document.</t>
  </si>
  <si>
    <t>orders/documents</t>
  </si>
  <si>
    <t>permissions.py</t>
  </si>
  <si>
    <t>No duplicated role logic in views/templates</t>
  </si>
  <si>
    <t>BE-011</t>
  </si>
  <si>
    <t>Data Access</t>
  </si>
  <si>
    <t>Create selectors</t>
  </si>
  <si>
    <t>get_orders_for_user, get_documents_for_user, get_notifications_for_user. Enforce object-level access.</t>
  </si>
  <si>
    <t>selectors.py</t>
  </si>
  <si>
    <t>Users never see unauthorized records</t>
  </si>
  <si>
    <t>BE-012</t>
  </si>
  <si>
    <t>Services</t>
  </si>
  <si>
    <t>Create order service layer</t>
  </si>
  <si>
    <t>Functions for submit_order, review_order, request_missing_info, assign_provider, start_work, complete_provider_work, verify_order, deliver_order, cancel_order.</t>
  </si>
  <si>
    <t>services.py</t>
  </si>
  <si>
    <t>All status-changing actions go through service layer</t>
  </si>
  <si>
    <t>BE-013</t>
  </si>
  <si>
    <t>Create document service layer</t>
  </si>
  <si>
    <t>Validate file type/size, upload required docs, verify/reject docs, upload final docs, secure download.</t>
  </si>
  <si>
    <t>BE-005, BE-010</t>
  </si>
  <si>
    <t>Unsafe file uploads rejected; access checked before download</t>
  </si>
  <si>
    <t>BE-014</t>
  </si>
  <si>
    <t>Create notification service</t>
  </si>
  <si>
    <t>notify_client, notify_employee, notify_provider, notify_admin. Called from order/document services.</t>
  </si>
  <si>
    <t>BE-007, BE-012</t>
  </si>
  <si>
    <t>Notifications are created automatically for important actions</t>
  </si>
  <si>
    <t>BE-015</t>
  </si>
  <si>
    <t>Admin</t>
  </si>
  <si>
    <t>Configure Django admin</t>
  </si>
  <si>
    <t>Readable list_display, filters, search_fields, readonly audit fields, secure permissions.</t>
  </si>
  <si>
    <t>admin.py</t>
  </si>
  <si>
    <t>Admin users can manage records safely</t>
  </si>
  <si>
    <t>BE-016</t>
  </si>
  <si>
    <t>Seed Data</t>
  </si>
  <si>
    <t>Create demo data command</t>
  </si>
  <si>
    <t>Seed service categories, services, required documents, demo users for each role.</t>
  </si>
  <si>
    <t>core/services</t>
  </si>
  <si>
    <t>seed_demo command</t>
  </si>
  <si>
    <t>Medium</t>
  </si>
  <si>
    <t>System can be tested end-to-end quickly</t>
  </si>
  <si>
    <t>WF-001</t>
  </si>
  <si>
    <t>Status Engine</t>
  </si>
  <si>
    <t>Define allowed transitions</t>
  </si>
  <si>
    <t>Central transition map: draft→submitted, submitted→under_review, under_review→missing_info/assigned/rejected, etc.</t>
  </si>
  <si>
    <t>workflow</t>
  </si>
  <si>
    <t>rules.py</t>
  </si>
  <si>
    <t>No invalid transition can be saved</t>
  </si>
  <si>
    <t>WF-002</t>
  </si>
  <si>
    <t>Create transition validator</t>
  </si>
  <si>
    <t>validate_order_transition(current, next) with clear ValidationError.</t>
  </si>
  <si>
    <t>Invalid transitions raise error</t>
  </si>
  <si>
    <t>WF-003</t>
  </si>
  <si>
    <t>Role Rules</t>
  </si>
  <si>
    <t>Map transition permissions</t>
  </si>
  <si>
    <t>Define which role can perform each transition; object ownership still checked.</t>
  </si>
  <si>
    <t>workflow/orders</t>
  </si>
  <si>
    <t>transition_permissions.py</t>
  </si>
  <si>
    <t>WF-001, BE-010</t>
  </si>
  <si>
    <t>Only authorized role can transition status</t>
  </si>
  <si>
    <t>WF-004</t>
  </si>
  <si>
    <t>Atomic Updates</t>
  </si>
  <si>
    <t>Wrap workflow actions in transactions</t>
  </si>
  <si>
    <t>Use transaction.atomic for status updates, assignments, audit log, notification creation.</t>
  </si>
  <si>
    <t>orders/workflow</t>
  </si>
  <si>
    <t>service functions</t>
  </si>
  <si>
    <t>No partial update when error occurs</t>
  </si>
  <si>
    <t>WF-005</t>
  </si>
  <si>
    <t>Missing Info Flow</t>
  </si>
  <si>
    <t>Implement missing document request</t>
  </si>
  <si>
    <t>Employee selects missing document type and note; client notification created; status becomes missing_info.</t>
  </si>
  <si>
    <t>request_missing_info service</t>
  </si>
  <si>
    <t>WF-004, BE-014</t>
  </si>
  <si>
    <t>Client sees required missing documents</t>
  </si>
  <si>
    <t>WF-006</t>
  </si>
  <si>
    <t>Assignment Flow</t>
  </si>
  <si>
    <t>Implement provider assignment</t>
  </si>
  <si>
    <t>Employee/admin assigns provider; provider notification created; order status assigned.</t>
  </si>
  <si>
    <t>assign_provider service</t>
  </si>
  <si>
    <t>Assigned provider can see order</t>
  </si>
  <si>
    <t>WF-007</t>
  </si>
  <si>
    <t>Provider Flow</t>
  </si>
  <si>
    <t>Implement provider completion</t>
  </si>
  <si>
    <t>Provider starts work, uploads final document, marks completed_by_provider.</t>
  </si>
  <si>
    <t>provider services</t>
  </si>
  <si>
    <t>WF-006, BE-013</t>
  </si>
  <si>
    <t>Final document linked and visible to employee/admin</t>
  </si>
  <si>
    <t>WF-008</t>
  </si>
  <si>
    <t>Verification Flow</t>
  </si>
  <si>
    <t>Implement final verification</t>
  </si>
  <si>
    <t>Employee/admin reviews final document and sets verified/delivered or returns to missing_info/rework.</t>
  </si>
  <si>
    <t>verify service</t>
  </si>
  <si>
    <t>Client notified when delivered</t>
  </si>
  <si>
    <t>WF-009</t>
  </si>
  <si>
    <t>Cancellation Rules</t>
  </si>
  <si>
    <t>Define cancellation rules</t>
  </si>
  <si>
    <t>Client may cancel only draft/submitted; employee limited; admin can cancel most non-delivered orders.</t>
  </si>
  <si>
    <t>cancellation service</t>
  </si>
  <si>
    <t>Cancellation follows business policy</t>
  </si>
  <si>
    <t>WF-010</t>
  </si>
  <si>
    <t>Audit Trail</t>
  </si>
  <si>
    <t>Log every transition</t>
  </si>
  <si>
    <t>Every transition stores old/new status, actor, action, note, timestamp.</t>
  </si>
  <si>
    <t>audit service</t>
  </si>
  <si>
    <t>BE-006, WF-004</t>
  </si>
  <si>
    <t>Audit log complete for all status changes</t>
  </si>
  <si>
    <t>SEC-001</t>
  </si>
  <si>
    <t>Auth</t>
  </si>
  <si>
    <t>Require login everywhere</t>
  </si>
  <si>
    <t>Protect all dashboard, order, document, notification, and report views with LoginRequiredMixin/decorators.</t>
  </si>
  <si>
    <t>All views</t>
  </si>
  <si>
    <t>login protection</t>
  </si>
  <si>
    <t>Anonymous users cannot access private screens</t>
  </si>
  <si>
    <t>SEC-002</t>
  </si>
  <si>
    <t>Authorization</t>
  </si>
  <si>
    <t>Server-side permission checks</t>
  </si>
  <si>
    <t>Use PermissionRequiredMixin or explicit checks before every protected action.</t>
  </si>
  <si>
    <t>All views/services</t>
  </si>
  <si>
    <t>backend authorization</t>
  </si>
  <si>
    <t>Direct URL/API calls cannot bypass UI</t>
  </si>
  <si>
    <t>SEC-003</t>
  </si>
  <si>
    <t>Object Access</t>
  </si>
  <si>
    <t>Object-level filtering</t>
  </si>
  <si>
    <t>Never use Order.objects.all() in user-facing views. Use selectors.</t>
  </si>
  <si>
    <t>selectors enforced</t>
  </si>
  <si>
    <t>Users can access only permitted objects</t>
  </si>
  <si>
    <t>SEC-004</t>
  </si>
  <si>
    <t>Files</t>
  </si>
  <si>
    <t>Secure uploads</t>
  </si>
  <si>
    <t>Validate extension, MIME, size; use generated safe filenames; block executable files.</t>
  </si>
  <si>
    <t>file validation</t>
  </si>
  <si>
    <t>Malicious/oversized files rejected</t>
  </si>
  <si>
    <t>SEC-005</t>
  </si>
  <si>
    <t>Secure downloads</t>
  </si>
  <si>
    <t>Download endpoint checks can_view_document/can_download_document before serving file.</t>
  </si>
  <si>
    <t>download view</t>
  </si>
  <si>
    <t>Unauthorized file download returns 403/404</t>
  </si>
  <si>
    <t>SEC-006</t>
  </si>
  <si>
    <t>CSRF</t>
  </si>
  <si>
    <t>Enable CSRF protection</t>
  </si>
  <si>
    <t>Use Django CSRF middleware and tokens in all forms.</t>
  </si>
  <si>
    <t>Project/templates</t>
  </si>
  <si>
    <t>CSRF enabled</t>
  </si>
  <si>
    <t>UI forms</t>
  </si>
  <si>
    <t>POST without token rejected</t>
  </si>
  <si>
    <t>SEC-007</t>
  </si>
  <si>
    <t>Forms</t>
  </si>
  <si>
    <t>Use ModelForms with validation</t>
  </si>
  <si>
    <t>Do not trust hidden fields for client/provider/price/status; set sensitive fields in backend.</t>
  </si>
  <si>
    <t>All forms</t>
  </si>
  <si>
    <t>forms.py</t>
  </si>
  <si>
    <t>User cannot tamper with status/ownership</t>
  </si>
  <si>
    <t>SEC-008</t>
  </si>
  <si>
    <t>Restrict admin actions</t>
  </si>
  <si>
    <t>Only staff/admin can access Django admin; readonly fields for audit fields.</t>
  </si>
  <si>
    <t>admin</t>
  </si>
  <si>
    <t>Non-admin roles blocked from admin</t>
  </si>
  <si>
    <t>SEC-009</t>
  </si>
  <si>
    <t>Settings</t>
  </si>
  <si>
    <t>Production security settings</t>
  </si>
  <si>
    <t>Configure ALLOWED_HOSTS, CSRF_TRUSTED_ORIGINS, DEBUG=False, secure cookies, HSTS after HTTPS.</t>
  </si>
  <si>
    <t>settings</t>
  </si>
  <si>
    <t>production settings</t>
  </si>
  <si>
    <t>Security checks pass</t>
  </si>
  <si>
    <t>SEC-010</t>
  </si>
  <si>
    <t>Logging</t>
  </si>
  <si>
    <t>Security logging</t>
  </si>
  <si>
    <t>Log failed permission attempts and important actions without leaking sensitive data.</t>
  </si>
  <si>
    <t>logging config</t>
  </si>
  <si>
    <t>Suspicious actions visible in logs</t>
  </si>
  <si>
    <t>SEC-011</t>
  </si>
  <si>
    <t>OWASP</t>
  </si>
  <si>
    <t>Broken access control review</t>
  </si>
  <si>
    <t>Manually test role bypass attempts: direct URLs, changing IDs, hidden button actions.</t>
  </si>
  <si>
    <t>QA</t>
  </si>
  <si>
    <t>security test checklist</t>
  </si>
  <si>
    <t>SEC-001 to SEC-005</t>
  </si>
  <si>
    <t>No broken access control found</t>
  </si>
  <si>
    <t>UI-001</t>
  </si>
  <si>
    <t>Layout</t>
  </si>
  <si>
    <t>Create base layout</t>
  </si>
  <si>
    <t>Navbar/sidebar changes based on user role. Include notification icon and profile menu.</t>
  </si>
  <si>
    <t>templates/core</t>
  </si>
  <si>
    <t>base.html</t>
  </si>
  <si>
    <t>Only allowed navigation items appear</t>
  </si>
  <si>
    <t>UI-002</t>
  </si>
  <si>
    <t>Client</t>
  </si>
  <si>
    <t>Client dashboard</t>
  </si>
  <si>
    <t>Show active orders, missing document requests, completed orders, recent notifications.</t>
  </si>
  <si>
    <t>orders/templates</t>
  </si>
  <si>
    <t>client_dashboard.html</t>
  </si>
  <si>
    <t>Client only sees own data</t>
  </si>
  <si>
    <t>UI-003</t>
  </si>
  <si>
    <t>Create order screen</t>
  </si>
  <si>
    <t>Service selection, dynamic required documents, notes, submit as draft/submitted.</t>
  </si>
  <si>
    <t>order_form.html</t>
  </si>
  <si>
    <t>BE-003, BE-012</t>
  </si>
  <si>
    <t>Client can create valid order</t>
  </si>
  <si>
    <t>UI-004</t>
  </si>
  <si>
    <t>My orders screen</t>
  </si>
  <si>
    <t>List own orders with status, date, service, next required action.</t>
  </si>
  <si>
    <t>my_orders.html</t>
  </si>
  <si>
    <t>No other users' orders shown</t>
  </si>
  <si>
    <t>UI-005</t>
  </si>
  <si>
    <t>Missing documents response screen</t>
  </si>
  <si>
    <t>Upload requested documents and resubmit order.</t>
  </si>
  <si>
    <t>documents/templates</t>
  </si>
  <si>
    <t>missing_docs.html</t>
  </si>
  <si>
    <t>Upload only allowed while order is missing_info</t>
  </si>
  <si>
    <t>UI-006</t>
  </si>
  <si>
    <t>Employee</t>
  </si>
  <si>
    <t>Employee review queue</t>
  </si>
  <si>
    <t>Show submitted/resubmitted orders needing review.</t>
  </si>
  <si>
    <t>employee_queue.html</t>
  </si>
  <si>
    <t>BE-011, BE-012</t>
  </si>
  <si>
    <t>Employee can review allowed orders</t>
  </si>
  <si>
    <t>UI-007</t>
  </si>
  <si>
    <t>Order review detail</t>
  </si>
  <si>
    <t>Actions: request missing docs, reject, assign provider, add note, verify documents.</t>
  </si>
  <si>
    <t>employee_order_detail.html</t>
  </si>
  <si>
    <t>BE-012, BE-013</t>
  </si>
  <si>
    <t>Every button maps to protected backend action</t>
  </si>
  <si>
    <t>UI-008</t>
  </si>
  <si>
    <t>Provider</t>
  </si>
  <si>
    <t>Provider assigned orders</t>
  </si>
  <si>
    <t>Show provider's assigned orders only.</t>
  </si>
  <si>
    <t>provider_orders.html</t>
  </si>
  <si>
    <t>Provider sees assigned orders only</t>
  </si>
  <si>
    <t>UI-009</t>
  </si>
  <si>
    <t>Provider work detail</t>
  </si>
  <si>
    <t>Actions: start work, update work note, upload final document, mark completed.</t>
  </si>
  <si>
    <t>orders/documents templates</t>
  </si>
  <si>
    <t>provider_order_detail.html</t>
  </si>
  <si>
    <t>Provider can update only assigned active orders</t>
  </si>
  <si>
    <t>UI-010</t>
  </si>
  <si>
    <t>Admin reports dashboard</t>
  </si>
  <si>
    <t>High-level counts, orders by status, service volume, provider performance, missing documents.</t>
  </si>
  <si>
    <t>reports/templates</t>
  </si>
  <si>
    <t>reports_dashboard.html</t>
  </si>
  <si>
    <t>BE-006, BE-011</t>
  </si>
  <si>
    <t>Admin sees full reporting</t>
  </si>
  <si>
    <t>UI-011</t>
  </si>
  <si>
    <t>Manage services/prices screens</t>
  </si>
  <si>
    <t>CRUD service categories, services, required documents, pricing.</t>
  </si>
  <si>
    <t>services/templates</t>
  </si>
  <si>
    <t>service_admin.html</t>
  </si>
  <si>
    <t>Only admin can modify services/prices</t>
  </si>
  <si>
    <t>UI-012</t>
  </si>
  <si>
    <t>Manage users/roles screen</t>
  </si>
  <si>
    <t>Assign users to roles/groups; view active/inactive users.</t>
  </si>
  <si>
    <t>accounts/templates</t>
  </si>
  <si>
    <t>user_admin.html</t>
  </si>
  <si>
    <t>Only admin can change roles</t>
  </si>
  <si>
    <t>UI-013</t>
  </si>
  <si>
    <t>Shared</t>
  </si>
  <si>
    <t>Order timeline component</t>
  </si>
  <si>
    <t>Reusable timeline showing status history, notes, and audit events according to access.</t>
  </si>
  <si>
    <t>orders/templates/partials</t>
  </si>
  <si>
    <t>_order_timeline.html</t>
  </si>
  <si>
    <t>Timeline is correct and safe for each role</t>
  </si>
  <si>
    <t>UI-014</t>
  </si>
  <si>
    <t>Notification center</t>
  </si>
  <si>
    <t>List notifications, mark read, link to related order where allowed.</t>
  </si>
  <si>
    <t>notifications/templates</t>
  </si>
  <si>
    <t>notifications.html</t>
  </si>
  <si>
    <t>Unauthorized order links are blocked</t>
  </si>
  <si>
    <t>QA-001</t>
  </si>
  <si>
    <t>Unit Tests</t>
  </si>
  <si>
    <t>Test role helpers</t>
  </si>
  <si>
    <t>Test is_admin/is_employee/is_provider/is_client and permission helper behavior.</t>
  </si>
  <si>
    <t>accounts/orders</t>
  </si>
  <si>
    <t>test_permissions.py</t>
  </si>
  <si>
    <t>Role helper tests pass</t>
  </si>
  <si>
    <t>QA-002</t>
  </si>
  <si>
    <t>Test selectors</t>
  </si>
  <si>
    <t>Each role sees only expected orders/documents/notifications.</t>
  </si>
  <si>
    <t>test_selectors.py</t>
  </si>
  <si>
    <t>No unauthorized records returned</t>
  </si>
  <si>
    <t>QA-003</t>
  </si>
  <si>
    <t>Test workflow transitions</t>
  </si>
  <si>
    <t>Allowed transitions pass; invalid transitions fail.</t>
  </si>
  <si>
    <t>test_workflow.py</t>
  </si>
  <si>
    <t>WF-001, WF-002</t>
  </si>
  <si>
    <t>Transition tests pass</t>
  </si>
  <si>
    <t>QA-004</t>
  </si>
  <si>
    <t>Integration Tests</t>
  </si>
  <si>
    <t>Test client order flow</t>
  </si>
  <si>
    <t>Client creates order, uploads docs, submits, sees own timeline.</t>
  </si>
  <si>
    <t>client flow test</t>
  </si>
  <si>
    <t>End-to-end client flow passes</t>
  </si>
  <si>
    <t>QA-005</t>
  </si>
  <si>
    <t>Test employee review flow</t>
  </si>
  <si>
    <t>Employee reviews, requests missing info, assigns provider, verifies final output.</t>
  </si>
  <si>
    <t>employee flow test</t>
  </si>
  <si>
    <t>UI-006, UI-007</t>
  </si>
  <si>
    <t>Employee flow passes</t>
  </si>
  <si>
    <t>QA-006</t>
  </si>
  <si>
    <t>Test provider flow</t>
  </si>
  <si>
    <t>Provider sees assigned order, starts work, uploads final document, completes.</t>
  </si>
  <si>
    <t>provider flow test</t>
  </si>
  <si>
    <t>UI-008, UI-009</t>
  </si>
  <si>
    <t>Provider flow passes</t>
  </si>
  <si>
    <t>QA-007</t>
  </si>
  <si>
    <t>Security Tests</t>
  </si>
  <si>
    <t>Test direct URL bypass</t>
  </si>
  <si>
    <t>Try opening another client's order/document using ID manipulation.</t>
  </si>
  <si>
    <t>access control test</t>
  </si>
  <si>
    <t>SEC-003, SEC-005</t>
  </si>
  <si>
    <t>Unauthorized access blocked</t>
  </si>
  <si>
    <t>QA-008</t>
  </si>
  <si>
    <t>Test file upload attacks</t>
  </si>
  <si>
    <t>Try invalid extensions, large files, wrong MIME, dangerous names.</t>
  </si>
  <si>
    <t>file upload test</t>
  </si>
  <si>
    <t>Bad files rejected</t>
  </si>
  <si>
    <t>QA-009</t>
  </si>
  <si>
    <t>UI Tests</t>
  </si>
  <si>
    <t>Manual role UI review</t>
  </si>
  <si>
    <t>Login as each role and verify visible screens/buttons match permission matrix.</t>
  </si>
  <si>
    <t>templates</t>
  </si>
  <si>
    <t>manual QA checklist</t>
  </si>
  <si>
    <t>UI-001 to UI-014</t>
  </si>
  <si>
    <t>UI matches backend permissions</t>
  </si>
  <si>
    <t>QA-010</t>
  </si>
  <si>
    <t>Data Tests</t>
  </si>
  <si>
    <t>Audit log completeness</t>
  </si>
  <si>
    <t>Check each action creates correct audit log record.</t>
  </si>
  <si>
    <t>audit tests</t>
  </si>
  <si>
    <t>Audit log present for all important actions</t>
  </si>
  <si>
    <t>QA-011</t>
  </si>
  <si>
    <t>Performance</t>
  </si>
  <si>
    <t>Basic query performance review</t>
  </si>
  <si>
    <t>Use select_related/prefetch_related on order lists and detail pages.</t>
  </si>
  <si>
    <t>query optimization</t>
  </si>
  <si>
    <t>UI lists</t>
  </si>
  <si>
    <t>No excessive duplicate queries</t>
  </si>
  <si>
    <t>QA-012</t>
  </si>
  <si>
    <t>UAT</t>
  </si>
  <si>
    <t>User acceptance testing</t>
  </si>
  <si>
    <t>Test real business scenarios with admin/employee/provider/client accounts.</t>
  </si>
  <si>
    <t>UAT signoff</t>
  </si>
  <si>
    <t>All core features</t>
  </si>
  <si>
    <t>Client confirms flow is correct</t>
  </si>
  <si>
    <t>DEP-001</t>
  </si>
  <si>
    <t>Environment</t>
  </si>
  <si>
    <t>Create .env structure</t>
  </si>
  <si>
    <t>SECRET_KEY, DEBUG, DATABASE_URL, ALLOWED_HOSTS, CSRF_TRUSTED_ORIGINS, EMAIL settings, media path.</t>
  </si>
  <si>
    <t>.env.example</t>
  </si>
  <si>
    <t>BE complete</t>
  </si>
  <si>
    <t>Settings loaded from environment</t>
  </si>
  <si>
    <t>DEP-002</t>
  </si>
  <si>
    <t>Database</t>
  </si>
  <si>
    <t>Use PostgreSQL</t>
  </si>
  <si>
    <t>Configure PostgreSQL for staging/production; avoid SQLite in production.</t>
  </si>
  <si>
    <t>settings/db</t>
  </si>
  <si>
    <t>database config</t>
  </si>
  <si>
    <t>Migrations run on PostgreSQL</t>
  </si>
  <si>
    <t>DEP-003</t>
  </si>
  <si>
    <t>Static Files</t>
  </si>
  <si>
    <t>Configure static files</t>
  </si>
  <si>
    <t>Use collectstatic and WhiteNoise or reverse proxy static serving.</t>
  </si>
  <si>
    <t>static config</t>
  </si>
  <si>
    <t>Static assets load in production</t>
  </si>
  <si>
    <t>DEP-004</t>
  </si>
  <si>
    <t>Media Files</t>
  </si>
  <si>
    <t>Configure media storage</t>
  </si>
  <si>
    <t>Local protected media for MVP or S3-compatible storage later; document backup path.</t>
  </si>
  <si>
    <t>media config</t>
  </si>
  <si>
    <t>Uploaded files persist and are protected</t>
  </si>
  <si>
    <t>DEP-005</t>
  </si>
  <si>
    <t>Email</t>
  </si>
  <si>
    <t>Configure email backend</t>
  </si>
  <si>
    <t>SMTP settings for notifications/password reset. Database notifications remain primary.</t>
  </si>
  <si>
    <t>email config</t>
  </si>
  <si>
    <t>Test email sends successfully</t>
  </si>
  <si>
    <t>DEP-006</t>
  </si>
  <si>
    <t>Backups</t>
  </si>
  <si>
    <t>Create backup plan</t>
  </si>
  <si>
    <t>Database daily backups + media backup + restore test.</t>
  </si>
  <si>
    <t>Ops</t>
  </si>
  <si>
    <t>backup procedure</t>
  </si>
  <si>
    <t>DEP-002, DEP-004</t>
  </si>
  <si>
    <t>Restore test succeeds</t>
  </si>
  <si>
    <t>DEP-007</t>
  </si>
  <si>
    <t>Configure production logging</t>
  </si>
  <si>
    <t>App logs, error logs, access logs; avoid sensitive data in logs.</t>
  </si>
  <si>
    <t>Errors traceable in production</t>
  </si>
  <si>
    <t>DEP-008</t>
  </si>
  <si>
    <t>Staging</t>
  </si>
  <si>
    <t>Deploy staging environment</t>
  </si>
  <si>
    <t>Use Coolify/Docker or VPS setup with domain, HTTPS, env vars, DB, media.</t>
  </si>
  <si>
    <t>staging deployment</t>
  </si>
  <si>
    <t>DEP-001 to DEP-007</t>
  </si>
  <si>
    <t>Staging accessible over HTTPS</t>
  </si>
  <si>
    <t>DEP-009</t>
  </si>
  <si>
    <t>Security</t>
  </si>
  <si>
    <t>Run Django deployment checks</t>
  </si>
  <si>
    <t>Run python manage.py check --deploy and fix warnings.</t>
  </si>
  <si>
    <t>deployment check report</t>
  </si>
  <si>
    <t>No critical deployment warnings</t>
  </si>
  <si>
    <t>DEP-010</t>
  </si>
  <si>
    <t>Release</t>
  </si>
  <si>
    <t>Production launch checklist</t>
  </si>
  <si>
    <t>Migrations, roles seed, admin user, service seed, backups, monitoring, smoke tests.</t>
  </si>
  <si>
    <t>release checklist</t>
  </si>
  <si>
    <t>QA-012, DEP-009</t>
  </si>
  <si>
    <t>Production smoke test passes</t>
  </si>
  <si>
    <t>DEC-001</t>
  </si>
  <si>
    <t>Business Rule</t>
  </si>
  <si>
    <t>Who can assign provider?</t>
  </si>
  <si>
    <t>Decide if employee can assign any provider or only admin can assign providers.</t>
  </si>
  <si>
    <t>policy decision</t>
  </si>
  <si>
    <t>Documented rule and implemented permission</t>
  </si>
  <si>
    <t>DEC-002</t>
  </si>
  <si>
    <t>Can employee see all orders?</t>
  </si>
  <si>
    <t>Decide if employees see all submitted orders or only orders assigned to them.</t>
  </si>
  <si>
    <t>Selector logic matches decision</t>
  </si>
  <si>
    <t>DEC-003</t>
  </si>
  <si>
    <t>Payment handling</t>
  </si>
  <si>
    <t>Decide if payment is external/manual report only or integrated payment gateway.</t>
  </si>
  <si>
    <t>payments/reports</t>
  </si>
  <si>
    <t>payment scope</t>
  </si>
  <si>
    <t>Payment status model or report flow finalized</t>
  </si>
  <si>
    <t>DEC-004</t>
  </si>
  <si>
    <t>Cancellation/refund rules</t>
  </si>
  <si>
    <t>Define when clients can cancel and whether payment/refund status changes.</t>
  </si>
  <si>
    <t>orders/payments</t>
  </si>
  <si>
    <t>Cancellation rules implemented and tested</t>
  </si>
  <si>
    <t>DEC-005</t>
  </si>
  <si>
    <t>Documents</t>
  </si>
  <si>
    <t>Allowed file types and max size</t>
  </si>
  <si>
    <t>Define accepted types: PDF/JPG/PNG/docx? Max MB per file.</t>
  </si>
  <si>
    <t>file policy</t>
  </si>
  <si>
    <t>Upload validation constants finalized</t>
  </si>
  <si>
    <t>DEC-006</t>
  </si>
  <si>
    <t>Document retention policy</t>
  </si>
  <si>
    <t>Define how long to keep uploaded files and audit logs.</t>
  </si>
  <si>
    <t>documents/legal</t>
  </si>
  <si>
    <t>retention policy</t>
  </si>
  <si>
    <t>Retention policy documented</t>
  </si>
  <si>
    <t>DEC-007</t>
  </si>
  <si>
    <t>Notifications</t>
  </si>
  <si>
    <t>Notification channels</t>
  </si>
  <si>
    <t>Choose MVP channels: internal only, email, SMS, WhatsApp later.</t>
  </si>
  <si>
    <t>channel decision</t>
  </si>
  <si>
    <t>Notification service supports selected channels</t>
  </si>
  <si>
    <t>DEC-008</t>
  </si>
  <si>
    <t>Reports</t>
  </si>
  <si>
    <t>Required reports</t>
  </si>
  <si>
    <t>Define reports needed by admin: order volume, status aging, provider performance, revenue/payment report.</t>
  </si>
  <si>
    <t>reports</t>
  </si>
  <si>
    <t>report list</t>
  </si>
  <si>
    <t>Reports dashboard scope finalized</t>
  </si>
  <si>
    <t>DEC-009</t>
  </si>
  <si>
    <t>Localization</t>
  </si>
  <si>
    <t>Arabic/English support</t>
  </si>
  <si>
    <t>Decide whether MVP needs bilingual UI and data fields for all services/messages.</t>
  </si>
  <si>
    <t>templates/models</t>
  </si>
  <si>
    <t>language decision</t>
  </si>
  <si>
    <t>UI/message localization plan selected</t>
  </si>
  <si>
    <t>DEC-010</t>
  </si>
  <si>
    <t>Hosting target</t>
  </si>
  <si>
    <t>Decide VPS/Coolify, domain/subdomain, backup location, email provider.</t>
  </si>
  <si>
    <t>deployment decision</t>
  </si>
  <si>
    <t>Staging deployment plan finalized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</si>
</sst>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sz val="11"/>
      <color rgb="FF7F6000"/>
      <name val="Carlito"/>
    </font>
    <font>
      <b/>
      <sz val="11"/>
      <color rgb="FFFFFFFF"/>
      <name val="Carlito"/>
    </font>
    <font>
      <b/>
      <sz val="11"/>
      <color rgb="FF1F4E78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0F766E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8">
    <xf numFmtId="0" fontId="0" fillId="0" borderId="0" xfId="0" applyBorder="1"/>
    <xf numFmtId="0" fontId="3" fillId="4" borderId="0" xfId="0" applyFont="1" applyFill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3" fillId="4" borderId="0" xfId="0" applyFont="1" applyFill="1" applyBorder="1" applyAlignment="1">
      <alignment horizontal="center" vertical="center" wrapText="1"/>
    </xf>
    <xf numFmtId="0" fontId="4" fillId="5" borderId="1" xfId="0" applyFont="1" applyFill="1" applyAlignment="1">
      <alignment horizontal="left" vertical="center"/>
    </xf>
    <xf numFmtId="0" fontId="0" fillId="0" borderId="1" xfId="0"/>
    <xf numFmtId="0" fontId="2" fillId="3" borderId="1" xfId="0" applyFont="1" applyFill="1" applyAlignment="1">
      <alignment wrapText="1"/>
    </xf>
    <xf numFmtId="0" fontId="1" fillId="2" borderId="1" xfId="0" applyFont="1" applyFill="1" applyAlignment="1">
      <alignment horizontal="center" vertical="center"/>
    </xf>
  </cellXfs>
  <cellStyles count="1">
    <cellStyle name="Normal" xfId="0" builtinId="0"/>
  </cellStyles>
  <dxfs count="40"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8CBAD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8CBAD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8CBAD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8CBAD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8CBAD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8CBAD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8CBAD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Task Status by Area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Tasks</c:v>
          </c:tx>
          <c:spPr>
            <a:ln>
              <a:prstDash val="solid"/>
            </a:ln>
          </c:spPr>
          <c:invertIfNegative val="1"/>
          <c:cat>
            <c:strRef>
              <c:f>Dashboard!$A$5:$A$11</c:f>
              <c:strCache>
                <c:ptCount val="7"/>
                <c:pt idx="0">
                  <c:v>Backend Build</c:v>
                </c:pt>
                <c:pt idx="1">
                  <c:v>UI Screens</c:v>
                </c:pt>
                <c:pt idx="2">
                  <c:v>Workflow Logic</c:v>
                </c:pt>
                <c:pt idx="3">
                  <c:v>Security Checklist</c:v>
                </c:pt>
                <c:pt idx="4">
                  <c:v>Testing QA</c:v>
                </c:pt>
                <c:pt idx="5">
                  <c:v>Deployment</c:v>
                </c:pt>
                <c:pt idx="6">
                  <c:v>Missing Decisions</c:v>
                </c:pt>
              </c:strCache>
            </c:strRef>
          </c:cat>
          <c:val>
            <c:numRef>
              <c:f>Dashboard!$B$5:$B$11</c:f>
              <c:numCache>
                <c:formatCode>General</c:formatCode>
                <c:ptCount val="7"/>
                <c:pt idx="0">
                  <c:v>16</c:v>
                </c:pt>
                <c:pt idx="1">
                  <c:v>14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4-4AE5-93BC-62254F83CB5F}"/>
            </c:ext>
          </c:extLst>
        </c:ser>
        <c:ser>
          <c:idx val="1"/>
          <c:order val="1"/>
          <c:tx>
            <c:v>Not Started</c:v>
          </c:tx>
          <c:spPr>
            <a:ln>
              <a:prstDash val="solid"/>
            </a:ln>
          </c:spPr>
          <c:invertIfNegative val="1"/>
          <c:cat>
            <c:strRef>
              <c:f>Dashboard!$A$5:$A$11</c:f>
              <c:strCache>
                <c:ptCount val="7"/>
                <c:pt idx="0">
                  <c:v>Backend Build</c:v>
                </c:pt>
                <c:pt idx="1">
                  <c:v>UI Screens</c:v>
                </c:pt>
                <c:pt idx="2">
                  <c:v>Workflow Logic</c:v>
                </c:pt>
                <c:pt idx="3">
                  <c:v>Security Checklist</c:v>
                </c:pt>
                <c:pt idx="4">
                  <c:v>Testing QA</c:v>
                </c:pt>
                <c:pt idx="5">
                  <c:v>Deployment</c:v>
                </c:pt>
                <c:pt idx="6">
                  <c:v>Missing Decisions</c:v>
                </c:pt>
              </c:strCache>
            </c:strRef>
          </c:cat>
          <c:val>
            <c:numRef>
              <c:f>Dashboard!$C$5:$C$11</c:f>
              <c:numCache>
                <c:formatCode>General</c:formatCode>
                <c:ptCount val="7"/>
                <c:pt idx="0">
                  <c:v>0</c:v>
                </c:pt>
                <c:pt idx="1">
                  <c:v>14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14-4AE5-93BC-62254F83CB5F}"/>
            </c:ext>
          </c:extLst>
        </c:ser>
        <c:ser>
          <c:idx val="2"/>
          <c:order val="2"/>
          <c:tx>
            <c:v>In Progress</c:v>
          </c:tx>
          <c:spPr>
            <a:ln>
              <a:prstDash val="solid"/>
            </a:ln>
          </c:spPr>
          <c:invertIfNegative val="1"/>
          <c:cat>
            <c:strRef>
              <c:f>Dashboard!$A$5:$A$11</c:f>
              <c:strCache>
                <c:ptCount val="7"/>
                <c:pt idx="0">
                  <c:v>Backend Build</c:v>
                </c:pt>
                <c:pt idx="1">
                  <c:v>UI Screens</c:v>
                </c:pt>
                <c:pt idx="2">
                  <c:v>Workflow Logic</c:v>
                </c:pt>
                <c:pt idx="3">
                  <c:v>Security Checklist</c:v>
                </c:pt>
                <c:pt idx="4">
                  <c:v>Testing QA</c:v>
                </c:pt>
                <c:pt idx="5">
                  <c:v>Deployment</c:v>
                </c:pt>
                <c:pt idx="6">
                  <c:v>Missing Decisions</c:v>
                </c:pt>
              </c:strCache>
            </c:strRef>
          </c:cat>
          <c:val>
            <c:numRef>
              <c:f>Dashboard!$D$5:$D$11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14-4AE5-93BC-62254F83CB5F}"/>
            </c:ext>
          </c:extLst>
        </c:ser>
        <c:ser>
          <c:idx val="3"/>
          <c:order val="3"/>
          <c:tx>
            <c:v>Blocked</c:v>
          </c:tx>
          <c:spPr>
            <a:ln>
              <a:prstDash val="solid"/>
            </a:ln>
          </c:spPr>
          <c:invertIfNegative val="1"/>
          <c:cat>
            <c:strRef>
              <c:f>Dashboard!$A$5:$A$11</c:f>
              <c:strCache>
                <c:ptCount val="7"/>
                <c:pt idx="0">
                  <c:v>Backend Build</c:v>
                </c:pt>
                <c:pt idx="1">
                  <c:v>UI Screens</c:v>
                </c:pt>
                <c:pt idx="2">
                  <c:v>Workflow Logic</c:v>
                </c:pt>
                <c:pt idx="3">
                  <c:v>Security Checklist</c:v>
                </c:pt>
                <c:pt idx="4">
                  <c:v>Testing QA</c:v>
                </c:pt>
                <c:pt idx="5">
                  <c:v>Deployment</c:v>
                </c:pt>
                <c:pt idx="6">
                  <c:v>Missing Decisions</c:v>
                </c:pt>
              </c:strCache>
            </c:strRef>
          </c:cat>
          <c:val>
            <c:numRef>
              <c:f>Dashboard!$E$5:$E$11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14-4AE5-93BC-62254F83CB5F}"/>
            </c:ext>
          </c:extLst>
        </c:ser>
        <c:ser>
          <c:idx val="4"/>
          <c:order val="4"/>
          <c:tx>
            <c:v>Done</c:v>
          </c:tx>
          <c:spPr>
            <a:ln>
              <a:prstDash val="solid"/>
            </a:ln>
          </c:spPr>
          <c:invertIfNegative val="1"/>
          <c:cat>
            <c:strRef>
              <c:f>Dashboard!$A$5:$A$11</c:f>
              <c:strCache>
                <c:ptCount val="7"/>
                <c:pt idx="0">
                  <c:v>Backend Build</c:v>
                </c:pt>
                <c:pt idx="1">
                  <c:v>UI Screens</c:v>
                </c:pt>
                <c:pt idx="2">
                  <c:v>Workflow Logic</c:v>
                </c:pt>
                <c:pt idx="3">
                  <c:v>Security Checklist</c:v>
                </c:pt>
                <c:pt idx="4">
                  <c:v>Testing QA</c:v>
                </c:pt>
                <c:pt idx="5">
                  <c:v>Deployment</c:v>
                </c:pt>
                <c:pt idx="6">
                  <c:v>Missing Decisions</c:v>
                </c:pt>
              </c:strCache>
            </c:strRef>
          </c:cat>
          <c:val>
            <c:numRef>
              <c:f>Dashboard!$F$5:$F$11</c:f>
              <c:numCache>
                <c:formatCode>General</c:formatCode>
                <c:ptCount val="7"/>
                <c:pt idx="0">
                  <c:v>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14-4AE5-93BC-62254F83C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shboardSummaryTable" displayName="DashboardSummaryTable" ref="A4:H11">
  <tableColumns count="8">
    <tableColumn id="1" xr3:uid="{00000000-0010-0000-0000-000001000000}" name="Area"/>
    <tableColumn id="2" xr3:uid="{00000000-0010-0000-0000-000002000000}" name="Total Tasks"/>
    <tableColumn id="3" xr3:uid="{00000000-0010-0000-0000-000003000000}" name="Not Started"/>
    <tableColumn id="4" xr3:uid="{00000000-0010-0000-0000-000004000000}" name="In Progress"/>
    <tableColumn id="5" xr3:uid="{00000000-0010-0000-0000-000005000000}" name="Blocked"/>
    <tableColumn id="6" xr3:uid="{00000000-0010-0000-0000-000006000000}" name="Done"/>
    <tableColumn id="7" xr3:uid="{00000000-0010-0000-0000-000007000000}" name="High Priority"/>
    <tableColumn id="8" xr3:uid="{00000000-0010-0000-0000-000008000000}" name="Critical 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sterRoadmapTable" displayName="MasterRoadmapTable" ref="A1:J84">
  <tableColumns count="10">
    <tableColumn id="1" xr3:uid="{00000000-0010-0000-0100-000001000000}" name="ID"/>
    <tableColumn id="2" xr3:uid="{00000000-0010-0000-0100-000002000000}" name="Phase"/>
    <tableColumn id="3" xr3:uid="{00000000-0010-0000-0100-000003000000}" name="Task"/>
    <tableColumn id="4" xr3:uid="{00000000-0010-0000-0100-000004000000}" name="Details"/>
    <tableColumn id="5" xr3:uid="{00000000-0010-0000-0100-000005000000}" name="App/Module"/>
    <tableColumn id="6" xr3:uid="{00000000-0010-0000-0100-000006000000}" name="Output/Artifact"/>
    <tableColumn id="7" xr3:uid="{00000000-0010-0000-0100-000007000000}" name="Priority"/>
    <tableColumn id="8" xr3:uid="{00000000-0010-0000-0100-000008000000}" name="Status"/>
    <tableColumn id="9" xr3:uid="{00000000-0010-0000-0100-000009000000}" name="Dependency"/>
    <tableColumn id="10" xr3:uid="{00000000-0010-0000-0100-00000A000000}" name="Acceptance Criter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ackendBuildTable" displayName="BackendBuildTable" ref="A1:J17">
  <tableColumns count="10">
    <tableColumn id="1" xr3:uid="{00000000-0010-0000-0200-000001000000}" name="ID"/>
    <tableColumn id="2" xr3:uid="{00000000-0010-0000-0200-000002000000}" name="Phase"/>
    <tableColumn id="3" xr3:uid="{00000000-0010-0000-0200-000003000000}" name="Task"/>
    <tableColumn id="4" xr3:uid="{00000000-0010-0000-0200-000004000000}" name="Details"/>
    <tableColumn id="5" xr3:uid="{00000000-0010-0000-0200-000005000000}" name="App/Module"/>
    <tableColumn id="6" xr3:uid="{00000000-0010-0000-0200-000006000000}" name="Output/Artifact"/>
    <tableColumn id="7" xr3:uid="{00000000-0010-0000-0200-000007000000}" name="Priority"/>
    <tableColumn id="8" xr3:uid="{00000000-0010-0000-0200-000008000000}" name="Status"/>
    <tableColumn id="9" xr3:uid="{00000000-0010-0000-0200-000009000000}" name="Dependency"/>
    <tableColumn id="10" xr3:uid="{00000000-0010-0000-0200-00000A000000}" name="Acceptance Criter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UIScreenTable" displayName="UIScreenTable" ref="A1:I15">
  <tableColumns count="9">
    <tableColumn id="1" xr3:uid="{00000000-0010-0000-0300-000001000000}" name="ID"/>
    <tableColumn id="2" xr3:uid="{00000000-0010-0000-0300-000002000000}" name="Phase"/>
    <tableColumn id="3" xr3:uid="{00000000-0010-0000-0300-000003000000}" name="Task"/>
    <tableColumn id="4" xr3:uid="{00000000-0010-0000-0300-000004000000}" name="Details"/>
    <tableColumn id="5" xr3:uid="{00000000-0010-0000-0300-000005000000}" name="App/Module"/>
    <tableColumn id="7" xr3:uid="{00000000-0010-0000-0300-000007000000}" name="Priority"/>
    <tableColumn id="8" xr3:uid="{00000000-0010-0000-0300-000008000000}" name="Status"/>
    <tableColumn id="9" xr3:uid="{00000000-0010-0000-0300-000009000000}" name="Dependency"/>
    <tableColumn id="10" xr3:uid="{00000000-0010-0000-0300-00000A000000}" name="Acceptance Criteri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WorkflowLogicTable" displayName="WorkflowLogicTable" ref="A1:J11">
  <tableColumns count="10">
    <tableColumn id="1" xr3:uid="{00000000-0010-0000-0400-000001000000}" name="ID"/>
    <tableColumn id="2" xr3:uid="{00000000-0010-0000-0400-000002000000}" name="Phase"/>
    <tableColumn id="3" xr3:uid="{00000000-0010-0000-0400-000003000000}" name="Task"/>
    <tableColumn id="4" xr3:uid="{00000000-0010-0000-0400-000004000000}" name="Details"/>
    <tableColumn id="5" xr3:uid="{00000000-0010-0000-0400-000005000000}" name="App/Module"/>
    <tableColumn id="6" xr3:uid="{00000000-0010-0000-0400-000006000000}" name="Output/Artifact"/>
    <tableColumn id="7" xr3:uid="{00000000-0010-0000-0400-000007000000}" name="Priority"/>
    <tableColumn id="8" xr3:uid="{00000000-0010-0000-0400-000008000000}" name="Status"/>
    <tableColumn id="9" xr3:uid="{00000000-0010-0000-0400-000009000000}" name="Dependency"/>
    <tableColumn id="10" xr3:uid="{00000000-0010-0000-0400-00000A000000}" name="Acceptance Criter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ecurityChecklistTable" displayName="SecurityChecklistTable" ref="A1:J12">
  <tableColumns count="10">
    <tableColumn id="1" xr3:uid="{00000000-0010-0000-0500-000001000000}" name="ID"/>
    <tableColumn id="2" xr3:uid="{00000000-0010-0000-0500-000002000000}" name="Phase"/>
    <tableColumn id="3" xr3:uid="{00000000-0010-0000-0500-000003000000}" name="Task"/>
    <tableColumn id="4" xr3:uid="{00000000-0010-0000-0500-000004000000}" name="Details"/>
    <tableColumn id="5" xr3:uid="{00000000-0010-0000-0500-000005000000}" name="App/Module"/>
    <tableColumn id="6" xr3:uid="{00000000-0010-0000-0500-000006000000}" name="Output/Artifact"/>
    <tableColumn id="7" xr3:uid="{00000000-0010-0000-0500-000007000000}" name="Priority"/>
    <tableColumn id="8" xr3:uid="{00000000-0010-0000-0500-000008000000}" name="Status"/>
    <tableColumn id="9" xr3:uid="{00000000-0010-0000-0500-000009000000}" name="Dependency"/>
    <tableColumn id="10" xr3:uid="{00000000-0010-0000-0500-00000A000000}" name="Acceptance Criter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estingQATable" displayName="TestingQATable" ref="A1:J13">
  <tableColumns count="10">
    <tableColumn id="1" xr3:uid="{00000000-0010-0000-0600-000001000000}" name="ID"/>
    <tableColumn id="2" xr3:uid="{00000000-0010-0000-0600-000002000000}" name="Phase"/>
    <tableColumn id="3" xr3:uid="{00000000-0010-0000-0600-000003000000}" name="Task"/>
    <tableColumn id="4" xr3:uid="{00000000-0010-0000-0600-000004000000}" name="Details"/>
    <tableColumn id="5" xr3:uid="{00000000-0010-0000-0600-000005000000}" name="App/Module"/>
    <tableColumn id="6" xr3:uid="{00000000-0010-0000-0600-000006000000}" name="Output/Artifact"/>
    <tableColumn id="7" xr3:uid="{00000000-0010-0000-0600-000007000000}" name="Priority"/>
    <tableColumn id="8" xr3:uid="{00000000-0010-0000-0600-000008000000}" name="Status"/>
    <tableColumn id="9" xr3:uid="{00000000-0010-0000-0600-000009000000}" name="Dependency"/>
    <tableColumn id="10" xr3:uid="{00000000-0010-0000-0600-00000A000000}" name="Acceptance Criter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eploymentTable" displayName="DeploymentTable" ref="A1:J11">
  <tableColumns count="10">
    <tableColumn id="1" xr3:uid="{00000000-0010-0000-0700-000001000000}" name="ID"/>
    <tableColumn id="2" xr3:uid="{00000000-0010-0000-0700-000002000000}" name="Phase"/>
    <tableColumn id="3" xr3:uid="{00000000-0010-0000-0700-000003000000}" name="Task"/>
    <tableColumn id="4" xr3:uid="{00000000-0010-0000-0700-000004000000}" name="Details"/>
    <tableColumn id="5" xr3:uid="{00000000-0010-0000-0700-000005000000}" name="App/Module"/>
    <tableColumn id="6" xr3:uid="{00000000-0010-0000-0700-000006000000}" name="Output/Artifact"/>
    <tableColumn id="7" xr3:uid="{00000000-0010-0000-0700-000007000000}" name="Priority"/>
    <tableColumn id="8" xr3:uid="{00000000-0010-0000-0700-000008000000}" name="Status"/>
    <tableColumn id="9" xr3:uid="{00000000-0010-0000-0700-000009000000}" name="Dependency"/>
    <tableColumn id="10" xr3:uid="{00000000-0010-0000-0700-00000A000000}" name="Acceptance Criteri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MissingDecisionsTable" displayName="MissingDecisionsTable" ref="A1:J11">
  <tableColumns count="10">
    <tableColumn id="1" xr3:uid="{00000000-0010-0000-0800-000001000000}" name="ID"/>
    <tableColumn id="2" xr3:uid="{00000000-0010-0000-0800-000002000000}" name="Phase"/>
    <tableColumn id="3" xr3:uid="{00000000-0010-0000-0800-000003000000}" name="Task"/>
    <tableColumn id="4" xr3:uid="{00000000-0010-0000-0800-000004000000}" name="Details"/>
    <tableColumn id="5" xr3:uid="{00000000-0010-0000-0800-000005000000}" name="App/Module"/>
    <tableColumn id="6" xr3:uid="{00000000-0010-0000-0800-000006000000}" name="Output/Artifact"/>
    <tableColumn id="7" xr3:uid="{00000000-0010-0000-0800-000007000000}" name="Priority"/>
    <tableColumn id="8" xr3:uid="{00000000-0010-0000-0800-000008000000}" name="Status"/>
    <tableColumn id="9" xr3:uid="{00000000-0010-0000-0800-000009000000}" name="Dependency"/>
    <tableColumn id="10" xr3:uid="{00000000-0010-0000-0800-00000A000000}" name="Acceptance Criter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/>
  </sheetViews>
  <sheetFormatPr defaultRowHeight="13.8"/>
  <cols>
    <col min="1" max="1" width="28" customWidth="1"/>
    <col min="2" max="4" width="14" customWidth="1"/>
    <col min="5" max="6" width="12" customWidth="1"/>
    <col min="7" max="7" width="14" customWidth="1"/>
    <col min="8" max="8" width="16" customWidth="1"/>
  </cols>
  <sheetData>
    <row r="1" spans="1:8" ht="17.399999999999999">
      <c r="A1" s="7" t="s">
        <v>0</v>
      </c>
      <c r="B1" s="5"/>
      <c r="C1" s="5"/>
      <c r="D1" s="5"/>
      <c r="E1" s="5"/>
      <c r="F1" s="5"/>
      <c r="G1" s="5"/>
      <c r="H1" s="5"/>
    </row>
    <row r="2" spans="1:8">
      <c r="A2" s="6" t="s">
        <v>1</v>
      </c>
      <c r="B2" s="5"/>
      <c r="C2" s="5"/>
      <c r="D2" s="5"/>
      <c r="E2" s="5"/>
      <c r="F2" s="5"/>
      <c r="G2" s="5"/>
      <c r="H2" s="5"/>
    </row>
    <row r="4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>
      <c r="A5" s="2" t="s">
        <v>10</v>
      </c>
      <c r="B5" s="2">
        <f>COUNTA('Backend Build'!$A$2:$A$500)</f>
        <v>16</v>
      </c>
      <c r="C5" s="2">
        <f>COUNTIF('Backend Build'!$H$2:$H$500,"Not Started")</f>
        <v>0</v>
      </c>
      <c r="D5" s="2">
        <f>COUNTIF('Backend Build'!$H$2:$H$500,"In Progress")</f>
        <v>0</v>
      </c>
      <c r="E5" s="2">
        <f>COUNTIF('Backend Build'!$H$2:$H$500,"Blocked")</f>
        <v>0</v>
      </c>
      <c r="F5" s="2">
        <f>COUNTIF('Backend Build'!$H$2:$H$500,"Done")</f>
        <v>16</v>
      </c>
      <c r="G5" s="2">
        <f>COUNTIF('Backend Build'!$G$2:$G$500,"High")</f>
        <v>3</v>
      </c>
      <c r="H5" s="2">
        <f>COUNTIF('Backend Build'!$G$2:$G$500,"Critical")</f>
        <v>12</v>
      </c>
    </row>
    <row r="6" spans="1:8">
      <c r="A6" s="2" t="s">
        <v>11</v>
      </c>
      <c r="B6" s="2">
        <f>COUNTA('UI Screens'!$A$2:$A$500)</f>
        <v>14</v>
      </c>
      <c r="C6" s="2">
        <f>COUNTIF('UI Screens'!$G$2:$G$500,"Not Started")</f>
        <v>14</v>
      </c>
      <c r="D6" s="2">
        <f>COUNTIF('UI Screens'!$G$2:$G$500,"In Progress")</f>
        <v>0</v>
      </c>
      <c r="E6" s="2">
        <f>COUNTIF('UI Screens'!$G$2:$G$500,"Blocked")</f>
        <v>0</v>
      </c>
      <c r="F6" s="2">
        <f>COUNTIF('UI Screens'!$G$2:$G$500,"Done")</f>
        <v>0</v>
      </c>
      <c r="G6" s="2">
        <f>COUNTIF('UI Screens'!$F$2:$F$500,"High")</f>
        <v>5</v>
      </c>
      <c r="H6" s="2">
        <f>COUNTIF('UI Screens'!$F$2:$F$500,"Critical")</f>
        <v>6</v>
      </c>
    </row>
    <row r="7" spans="1:8">
      <c r="A7" s="2" t="s">
        <v>12</v>
      </c>
      <c r="B7" s="2">
        <f>COUNTA('Workflow Logic'!$A$2:$A$500)</f>
        <v>10</v>
      </c>
      <c r="C7" s="2">
        <f>COUNTIF('Workflow Logic'!$H$2:$H$500,"Not Started")</f>
        <v>10</v>
      </c>
      <c r="D7" s="2">
        <f>COUNTIF('Workflow Logic'!$H$2:$H$500,"In Progress")</f>
        <v>0</v>
      </c>
      <c r="E7" s="2">
        <f>COUNTIF('Workflow Logic'!$H$2:$H$500,"Blocked")</f>
        <v>0</v>
      </c>
      <c r="F7" s="2">
        <f>COUNTIF('Workflow Logic'!$H$2:$H$500,"Done")</f>
        <v>0</v>
      </c>
      <c r="G7" s="2">
        <f>COUNTIF('Workflow Logic'!$G$2:$G$500,"High")</f>
        <v>3</v>
      </c>
      <c r="H7" s="2">
        <f>COUNTIF('Workflow Logic'!$G$2:$G$500,"Critical")</f>
        <v>7</v>
      </c>
    </row>
    <row r="8" spans="1:8">
      <c r="A8" s="2" t="s">
        <v>13</v>
      </c>
      <c r="B8" s="2">
        <f>COUNTA('Security Checklist'!$A$2:$A$500)</f>
        <v>11</v>
      </c>
      <c r="C8" s="2">
        <f>COUNTIF('Security Checklist'!$H$2:$H$500,"Not Started")</f>
        <v>11</v>
      </c>
      <c r="D8" s="2">
        <f>COUNTIF('Security Checklist'!$H$2:$H$500,"In Progress")</f>
        <v>0</v>
      </c>
      <c r="E8" s="2">
        <f>COUNTIF('Security Checklist'!$H$2:$H$500,"Blocked")</f>
        <v>0</v>
      </c>
      <c r="F8" s="2">
        <f>COUNTIF('Security Checklist'!$H$2:$H$500,"Done")</f>
        <v>0</v>
      </c>
      <c r="G8" s="2">
        <f>COUNTIF('Security Checklist'!$G$2:$G$500,"High")</f>
        <v>1</v>
      </c>
      <c r="H8" s="2">
        <f>COUNTIF('Security Checklist'!$G$2:$G$500,"Critical")</f>
        <v>9</v>
      </c>
    </row>
    <row r="9" spans="1:8">
      <c r="A9" s="2" t="s">
        <v>14</v>
      </c>
      <c r="B9" s="2">
        <f>COUNTA('Testing QA'!$A$2:$A$500)</f>
        <v>12</v>
      </c>
      <c r="C9" s="2">
        <f>COUNTIF('Testing QA'!$H$2:$H$500,"Not Started")</f>
        <v>12</v>
      </c>
      <c r="D9" s="2">
        <f>COUNTIF('Testing QA'!$H$2:$H$500,"In Progress")</f>
        <v>0</v>
      </c>
      <c r="E9" s="2">
        <f>COUNTIF('Testing QA'!$H$2:$H$500,"Blocked")</f>
        <v>0</v>
      </c>
      <c r="F9" s="2">
        <f>COUNTIF('Testing QA'!$H$2:$H$500,"Done")</f>
        <v>0</v>
      </c>
      <c r="G9" s="2">
        <f>COUNTIF('Testing QA'!$G$2:$G$500,"High")</f>
        <v>5</v>
      </c>
      <c r="H9" s="2">
        <f>COUNTIF('Testing QA'!$G$2:$G$500,"Critical")</f>
        <v>6</v>
      </c>
    </row>
    <row r="10" spans="1:8">
      <c r="A10" s="2" t="s">
        <v>15</v>
      </c>
      <c r="B10" s="2">
        <f>COUNTA(Deployment!$A$2:$A$500)</f>
        <v>10</v>
      </c>
      <c r="C10" s="2">
        <f>COUNTIF(Deployment!$H$2:$H$500,"Not Started")</f>
        <v>10</v>
      </c>
      <c r="D10" s="2">
        <f>COUNTIF(Deployment!$H$2:$H$500,"In Progress")</f>
        <v>0</v>
      </c>
      <c r="E10" s="2">
        <f>COUNTIF(Deployment!$H$2:$H$500,"Blocked")</f>
        <v>0</v>
      </c>
      <c r="F10" s="2">
        <f>COUNTIF(Deployment!$H$2:$H$500,"Done")</f>
        <v>0</v>
      </c>
      <c r="G10" s="2">
        <f>COUNTIF(Deployment!$G$2:$G$500,"High")</f>
        <v>2</v>
      </c>
      <c r="H10" s="2">
        <f>COUNTIF(Deployment!$G$2:$G$500,"Critical")</f>
        <v>7</v>
      </c>
    </row>
    <row r="11" spans="1:8">
      <c r="A11" s="2" t="s">
        <v>16</v>
      </c>
      <c r="B11" s="2">
        <f>COUNTA('Missing Decisions'!$A$2:$A$500)</f>
        <v>10</v>
      </c>
      <c r="C11" s="2">
        <f>COUNTIF('Missing Decisions'!$H$2:$H$500,"Not Started")</f>
        <v>10</v>
      </c>
      <c r="D11" s="2">
        <f>COUNTIF('Missing Decisions'!$H$2:$H$500,"In Progress")</f>
        <v>0</v>
      </c>
      <c r="E11" s="2">
        <f>COUNTIF('Missing Decisions'!$H$2:$H$500,"Blocked")</f>
        <v>0</v>
      </c>
      <c r="F11" s="2">
        <f>COUNTIF('Missing Decisions'!$H$2:$H$500,"Done")</f>
        <v>0</v>
      </c>
      <c r="G11" s="2">
        <f>COUNTIF('Missing Decisions'!$G$2:$G$500,"High")</f>
        <v>5</v>
      </c>
      <c r="H11" s="2">
        <f>COUNTIF('Missing Decisions'!$G$2:$G$500,"Critical")</f>
        <v>2</v>
      </c>
    </row>
    <row r="13" spans="1:8">
      <c r="A13" s="4" t="s">
        <v>17</v>
      </c>
      <c r="B13" s="5"/>
      <c r="C13" s="5"/>
      <c r="D13" s="5"/>
      <c r="E13" s="5"/>
      <c r="F13" s="5"/>
      <c r="G13" s="5"/>
      <c r="H13" s="5"/>
    </row>
    <row r="14" spans="1:8" ht="27.6">
      <c r="A14" s="2" t="s">
        <v>18</v>
      </c>
      <c r="B14" s="2" t="s">
        <v>19</v>
      </c>
    </row>
    <row r="15" spans="1:8" ht="69">
      <c r="A15" s="2" t="s">
        <v>20</v>
      </c>
      <c r="B15" s="2" t="s">
        <v>21</v>
      </c>
    </row>
    <row r="16" spans="1:8" ht="55.2">
      <c r="A16" s="2" t="s">
        <v>22</v>
      </c>
      <c r="B16" s="2" t="s">
        <v>23</v>
      </c>
    </row>
    <row r="17" spans="1:2" ht="69">
      <c r="A17" s="2" t="s">
        <v>24</v>
      </c>
      <c r="B17" s="2" t="s">
        <v>25</v>
      </c>
    </row>
    <row r="18" spans="1:2" ht="55.2">
      <c r="A18" s="2" t="s">
        <v>26</v>
      </c>
      <c r="B18" s="2" t="s">
        <v>27</v>
      </c>
    </row>
    <row r="19" spans="1:2" ht="41.4">
      <c r="A19" s="2" t="s">
        <v>28</v>
      </c>
      <c r="B19" s="2" t="s">
        <v>29</v>
      </c>
    </row>
    <row r="20" spans="1:2" ht="55.2">
      <c r="A20" s="2" t="s">
        <v>30</v>
      </c>
      <c r="B20" s="2" t="s">
        <v>31</v>
      </c>
    </row>
    <row r="21" spans="1:2" ht="69">
      <c r="A21" s="2" t="s">
        <v>32</v>
      </c>
      <c r="B21" s="2" t="s">
        <v>33</v>
      </c>
    </row>
    <row r="22" spans="1:2" ht="69">
      <c r="A22" s="2" t="s">
        <v>34</v>
      </c>
      <c r="B22" s="2" t="s">
        <v>35</v>
      </c>
    </row>
    <row r="23" spans="1:2" ht="69">
      <c r="A23" s="2" t="s">
        <v>36</v>
      </c>
      <c r="B23" s="2" t="s">
        <v>37</v>
      </c>
    </row>
  </sheetData>
  <mergeCells count="3">
    <mergeCell ref="A13:H13"/>
    <mergeCell ref="A2:H2"/>
    <mergeCell ref="A1:H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4"/>
  <sheetViews>
    <sheetView workbookViewId="0"/>
  </sheetViews>
  <sheetFormatPr defaultRowHeight="13.8"/>
  <cols>
    <col min="1" max="1" width="10" customWidth="1"/>
    <col min="2" max="2" width="18" customWidth="1"/>
    <col min="3" max="3" width="32" customWidth="1"/>
    <col min="4" max="4" width="45" customWidth="1"/>
    <col min="5" max="5" width="18" customWidth="1"/>
    <col min="6" max="6" width="30" customWidth="1"/>
    <col min="7" max="7" width="12" customWidth="1"/>
    <col min="8" max="8" width="14" customWidth="1"/>
    <col min="9" max="9" width="24" customWidth="1"/>
    <col min="10" max="10" width="45" customWidth="1"/>
  </cols>
  <sheetData>
    <row r="1" spans="1:10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 ht="41.4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7</v>
      </c>
      <c r="I2" s="2"/>
      <c r="J2" s="2" t="s">
        <v>55</v>
      </c>
    </row>
    <row r="3" spans="1:10" ht="41.4">
      <c r="A3" s="2" t="s">
        <v>56</v>
      </c>
      <c r="B3" s="2" t="s">
        <v>49</v>
      </c>
      <c r="C3" s="2" t="s">
        <v>57</v>
      </c>
      <c r="D3" s="2" t="s">
        <v>58</v>
      </c>
      <c r="E3" s="2" t="s">
        <v>59</v>
      </c>
      <c r="F3" s="2" t="s">
        <v>60</v>
      </c>
      <c r="G3" s="2" t="s">
        <v>54</v>
      </c>
      <c r="H3" s="2" t="s">
        <v>7</v>
      </c>
      <c r="I3" s="2" t="s">
        <v>48</v>
      </c>
      <c r="J3" s="2" t="s">
        <v>61</v>
      </c>
    </row>
    <row r="4" spans="1:10" ht="41.4">
      <c r="A4" s="2" t="s">
        <v>62</v>
      </c>
      <c r="B4" s="2" t="s">
        <v>63</v>
      </c>
      <c r="C4" s="2" t="s">
        <v>64</v>
      </c>
      <c r="D4" s="2" t="s">
        <v>65</v>
      </c>
      <c r="E4" s="2" t="s">
        <v>66</v>
      </c>
      <c r="F4" s="2" t="s">
        <v>67</v>
      </c>
      <c r="G4" s="2" t="s">
        <v>54</v>
      </c>
      <c r="H4" s="2" t="s">
        <v>7</v>
      </c>
      <c r="I4" s="2" t="s">
        <v>56</v>
      </c>
      <c r="J4" s="2" t="s">
        <v>68</v>
      </c>
    </row>
    <row r="5" spans="1:10" ht="55.2">
      <c r="A5" s="2" t="s">
        <v>69</v>
      </c>
      <c r="B5" s="2" t="s">
        <v>63</v>
      </c>
      <c r="C5" s="2" t="s">
        <v>70</v>
      </c>
      <c r="D5" s="2" t="s">
        <v>71</v>
      </c>
      <c r="E5" s="2" t="s">
        <v>72</v>
      </c>
      <c r="F5" s="2" t="s">
        <v>73</v>
      </c>
      <c r="G5" s="2" t="s">
        <v>54</v>
      </c>
      <c r="H5" s="2" t="s">
        <v>7</v>
      </c>
      <c r="I5" s="2" t="s">
        <v>74</v>
      </c>
      <c r="J5" s="2" t="s">
        <v>75</v>
      </c>
    </row>
    <row r="6" spans="1:10" ht="41.4">
      <c r="A6" s="2" t="s">
        <v>76</v>
      </c>
      <c r="B6" s="2" t="s">
        <v>63</v>
      </c>
      <c r="C6" s="2" t="s">
        <v>77</v>
      </c>
      <c r="D6" s="2" t="s">
        <v>78</v>
      </c>
      <c r="E6" s="2" t="s">
        <v>79</v>
      </c>
      <c r="F6" s="2" t="s">
        <v>80</v>
      </c>
      <c r="G6" s="2" t="s">
        <v>54</v>
      </c>
      <c r="H6" s="2" t="s">
        <v>7</v>
      </c>
      <c r="I6" s="2" t="s">
        <v>69</v>
      </c>
      <c r="J6" s="2" t="s">
        <v>81</v>
      </c>
    </row>
    <row r="7" spans="1:10" ht="27.6">
      <c r="A7" s="2" t="s">
        <v>82</v>
      </c>
      <c r="B7" s="2" t="s">
        <v>63</v>
      </c>
      <c r="C7" s="2" t="s">
        <v>83</v>
      </c>
      <c r="D7" s="2" t="s">
        <v>84</v>
      </c>
      <c r="E7" s="2" t="s">
        <v>85</v>
      </c>
      <c r="F7" s="2" t="s">
        <v>86</v>
      </c>
      <c r="G7" s="2" t="s">
        <v>54</v>
      </c>
      <c r="H7" s="2" t="s">
        <v>7</v>
      </c>
      <c r="I7" s="2" t="s">
        <v>69</v>
      </c>
      <c r="J7" s="2" t="s">
        <v>87</v>
      </c>
    </row>
    <row r="8" spans="1:10" ht="27.6">
      <c r="A8" s="2" t="s">
        <v>88</v>
      </c>
      <c r="B8" s="2" t="s">
        <v>63</v>
      </c>
      <c r="C8" s="2" t="s">
        <v>89</v>
      </c>
      <c r="D8" s="2" t="s">
        <v>90</v>
      </c>
      <c r="E8" s="2" t="s">
        <v>91</v>
      </c>
      <c r="F8" s="2" t="s">
        <v>92</v>
      </c>
      <c r="G8" s="2" t="s">
        <v>93</v>
      </c>
      <c r="H8" s="2" t="s">
        <v>7</v>
      </c>
      <c r="I8" s="2" t="s">
        <v>69</v>
      </c>
      <c r="J8" s="2" t="s">
        <v>94</v>
      </c>
    </row>
    <row r="9" spans="1:10" ht="27.6">
      <c r="A9" s="2" t="s">
        <v>95</v>
      </c>
      <c r="B9" s="2" t="s">
        <v>96</v>
      </c>
      <c r="C9" s="2" t="s">
        <v>97</v>
      </c>
      <c r="D9" s="2" t="s">
        <v>98</v>
      </c>
      <c r="E9" s="2" t="s">
        <v>99</v>
      </c>
      <c r="F9" s="2" t="s">
        <v>100</v>
      </c>
      <c r="G9" s="2" t="s">
        <v>54</v>
      </c>
      <c r="H9" s="2" t="s">
        <v>7</v>
      </c>
      <c r="I9" s="2" t="s">
        <v>101</v>
      </c>
      <c r="J9" s="2" t="s">
        <v>102</v>
      </c>
    </row>
    <row r="10" spans="1:10" ht="27.6">
      <c r="A10" s="2" t="s">
        <v>103</v>
      </c>
      <c r="B10" s="2" t="s">
        <v>104</v>
      </c>
      <c r="C10" s="2" t="s">
        <v>105</v>
      </c>
      <c r="D10" s="2" t="s">
        <v>106</v>
      </c>
      <c r="E10" s="2" t="s">
        <v>107</v>
      </c>
      <c r="F10" s="2" t="s">
        <v>108</v>
      </c>
      <c r="G10" s="2" t="s">
        <v>54</v>
      </c>
      <c r="H10" s="2" t="s">
        <v>7</v>
      </c>
      <c r="I10" s="2" t="s">
        <v>95</v>
      </c>
      <c r="J10" s="2" t="s">
        <v>109</v>
      </c>
    </row>
    <row r="11" spans="1:10" ht="41.4">
      <c r="A11" s="2" t="s">
        <v>110</v>
      </c>
      <c r="B11" s="2" t="s">
        <v>104</v>
      </c>
      <c r="C11" s="2" t="s">
        <v>111</v>
      </c>
      <c r="D11" s="2" t="s">
        <v>112</v>
      </c>
      <c r="E11" s="2" t="s">
        <v>113</v>
      </c>
      <c r="F11" s="2" t="s">
        <v>114</v>
      </c>
      <c r="G11" s="2" t="s">
        <v>54</v>
      </c>
      <c r="H11" s="2" t="s">
        <v>7</v>
      </c>
      <c r="I11" s="2" t="s">
        <v>103</v>
      </c>
      <c r="J11" s="2" t="s">
        <v>115</v>
      </c>
    </row>
    <row r="12" spans="1:10" ht="41.4">
      <c r="A12" s="2" t="s">
        <v>116</v>
      </c>
      <c r="B12" s="2" t="s">
        <v>117</v>
      </c>
      <c r="C12" s="2" t="s">
        <v>118</v>
      </c>
      <c r="D12" s="2" t="s">
        <v>119</v>
      </c>
      <c r="E12" s="2" t="s">
        <v>113</v>
      </c>
      <c r="F12" s="2" t="s">
        <v>120</v>
      </c>
      <c r="G12" s="2" t="s">
        <v>54</v>
      </c>
      <c r="H12" s="2" t="s">
        <v>7</v>
      </c>
      <c r="I12" s="2" t="s">
        <v>110</v>
      </c>
      <c r="J12" s="2" t="s">
        <v>121</v>
      </c>
    </row>
    <row r="13" spans="1:10" ht="55.2">
      <c r="A13" s="2" t="s">
        <v>122</v>
      </c>
      <c r="B13" s="2" t="s">
        <v>123</v>
      </c>
      <c r="C13" s="2" t="s">
        <v>124</v>
      </c>
      <c r="D13" s="2" t="s">
        <v>125</v>
      </c>
      <c r="E13" s="2" t="s">
        <v>72</v>
      </c>
      <c r="F13" s="2" t="s">
        <v>126</v>
      </c>
      <c r="G13" s="2" t="s">
        <v>54</v>
      </c>
      <c r="H13" s="2" t="s">
        <v>7</v>
      </c>
      <c r="I13" s="2" t="s">
        <v>116</v>
      </c>
      <c r="J13" s="2" t="s">
        <v>127</v>
      </c>
    </row>
    <row r="14" spans="1:10" ht="27.6">
      <c r="A14" s="2" t="s">
        <v>128</v>
      </c>
      <c r="B14" s="2" t="s">
        <v>123</v>
      </c>
      <c r="C14" s="2" t="s">
        <v>129</v>
      </c>
      <c r="D14" s="2" t="s">
        <v>130</v>
      </c>
      <c r="E14" s="2" t="s">
        <v>79</v>
      </c>
      <c r="F14" s="2" t="s">
        <v>126</v>
      </c>
      <c r="G14" s="2" t="s">
        <v>54</v>
      </c>
      <c r="H14" s="2" t="s">
        <v>7</v>
      </c>
      <c r="I14" s="2" t="s">
        <v>131</v>
      </c>
      <c r="J14" s="2" t="s">
        <v>132</v>
      </c>
    </row>
    <row r="15" spans="1:10" ht="27.6">
      <c r="A15" s="2" t="s">
        <v>133</v>
      </c>
      <c r="B15" s="2" t="s">
        <v>123</v>
      </c>
      <c r="C15" s="2" t="s">
        <v>134</v>
      </c>
      <c r="D15" s="2" t="s">
        <v>135</v>
      </c>
      <c r="E15" s="2" t="s">
        <v>91</v>
      </c>
      <c r="F15" s="2" t="s">
        <v>126</v>
      </c>
      <c r="G15" s="2" t="s">
        <v>93</v>
      </c>
      <c r="H15" s="2" t="s">
        <v>7</v>
      </c>
      <c r="I15" s="2" t="s">
        <v>136</v>
      </c>
      <c r="J15" s="2" t="s">
        <v>137</v>
      </c>
    </row>
    <row r="16" spans="1:10" ht="27.6">
      <c r="A16" s="2" t="s">
        <v>138</v>
      </c>
      <c r="B16" s="2" t="s">
        <v>139</v>
      </c>
      <c r="C16" s="2" t="s">
        <v>140</v>
      </c>
      <c r="D16" s="2" t="s">
        <v>141</v>
      </c>
      <c r="E16" s="2" t="s">
        <v>99</v>
      </c>
      <c r="F16" s="2" t="s">
        <v>142</v>
      </c>
      <c r="G16" s="2" t="s">
        <v>93</v>
      </c>
      <c r="H16" s="2" t="s">
        <v>7</v>
      </c>
      <c r="I16" s="2" t="s">
        <v>95</v>
      </c>
      <c r="J16" s="2" t="s">
        <v>143</v>
      </c>
    </row>
    <row r="17" spans="1:10" ht="27.6">
      <c r="A17" s="2" t="s">
        <v>144</v>
      </c>
      <c r="B17" s="2" t="s">
        <v>145</v>
      </c>
      <c r="C17" s="2" t="s">
        <v>146</v>
      </c>
      <c r="D17" s="2" t="s">
        <v>147</v>
      </c>
      <c r="E17" s="2" t="s">
        <v>148</v>
      </c>
      <c r="F17" s="2" t="s">
        <v>149</v>
      </c>
      <c r="G17" s="2" t="s">
        <v>150</v>
      </c>
      <c r="H17" s="2" t="s">
        <v>7</v>
      </c>
      <c r="I17" s="2" t="s">
        <v>103</v>
      </c>
      <c r="J17" s="2" t="s">
        <v>151</v>
      </c>
    </row>
    <row r="18" spans="1:10" ht="41.4">
      <c r="A18" s="2" t="s">
        <v>152</v>
      </c>
      <c r="B18" s="2" t="s">
        <v>153</v>
      </c>
      <c r="C18" s="2" t="s">
        <v>154</v>
      </c>
      <c r="D18" s="2" t="s">
        <v>155</v>
      </c>
      <c r="E18" s="2" t="s">
        <v>156</v>
      </c>
      <c r="F18" s="2" t="s">
        <v>157</v>
      </c>
      <c r="G18" s="2" t="s">
        <v>54</v>
      </c>
      <c r="H18" s="2" t="s">
        <v>4</v>
      </c>
      <c r="I18" s="2" t="s">
        <v>56</v>
      </c>
      <c r="J18" s="2" t="s">
        <v>158</v>
      </c>
    </row>
    <row r="19" spans="1:10" ht="27.6">
      <c r="A19" s="2" t="s">
        <v>159</v>
      </c>
      <c r="B19" s="2" t="s">
        <v>153</v>
      </c>
      <c r="C19" s="2" t="s">
        <v>160</v>
      </c>
      <c r="D19" s="2" t="s">
        <v>161</v>
      </c>
      <c r="E19" s="2" t="s">
        <v>156</v>
      </c>
      <c r="F19" s="2" t="s">
        <v>126</v>
      </c>
      <c r="G19" s="2" t="s">
        <v>54</v>
      </c>
      <c r="H19" s="2" t="s">
        <v>4</v>
      </c>
      <c r="I19" s="2" t="s">
        <v>152</v>
      </c>
      <c r="J19" s="2" t="s">
        <v>162</v>
      </c>
    </row>
    <row r="20" spans="1:10" ht="27.6">
      <c r="A20" s="2" t="s">
        <v>163</v>
      </c>
      <c r="B20" s="2" t="s">
        <v>164</v>
      </c>
      <c r="C20" s="2" t="s">
        <v>165</v>
      </c>
      <c r="D20" s="2" t="s">
        <v>166</v>
      </c>
      <c r="E20" s="2" t="s">
        <v>167</v>
      </c>
      <c r="F20" s="2" t="s">
        <v>168</v>
      </c>
      <c r="G20" s="2" t="s">
        <v>54</v>
      </c>
      <c r="H20" s="2" t="s">
        <v>4</v>
      </c>
      <c r="I20" s="2" t="s">
        <v>169</v>
      </c>
      <c r="J20" s="2" t="s">
        <v>170</v>
      </c>
    </row>
    <row r="21" spans="1:10" ht="27.6">
      <c r="A21" s="2" t="s">
        <v>171</v>
      </c>
      <c r="B21" s="2" t="s">
        <v>172</v>
      </c>
      <c r="C21" s="2" t="s">
        <v>173</v>
      </c>
      <c r="D21" s="2" t="s">
        <v>174</v>
      </c>
      <c r="E21" s="2" t="s">
        <v>175</v>
      </c>
      <c r="F21" s="2" t="s">
        <v>176</v>
      </c>
      <c r="G21" s="2" t="s">
        <v>54</v>
      </c>
      <c r="H21" s="2" t="s">
        <v>4</v>
      </c>
      <c r="I21" s="2" t="s">
        <v>122</v>
      </c>
      <c r="J21" s="2" t="s">
        <v>177</v>
      </c>
    </row>
    <row r="22" spans="1:10" ht="41.4">
      <c r="A22" s="2" t="s">
        <v>178</v>
      </c>
      <c r="B22" s="2" t="s">
        <v>179</v>
      </c>
      <c r="C22" s="2" t="s">
        <v>180</v>
      </c>
      <c r="D22" s="2" t="s">
        <v>181</v>
      </c>
      <c r="E22" s="2" t="s">
        <v>113</v>
      </c>
      <c r="F22" s="2" t="s">
        <v>182</v>
      </c>
      <c r="G22" s="2" t="s">
        <v>54</v>
      </c>
      <c r="H22" s="2" t="s">
        <v>4</v>
      </c>
      <c r="I22" s="2" t="s">
        <v>183</v>
      </c>
      <c r="J22" s="2" t="s">
        <v>184</v>
      </c>
    </row>
    <row r="23" spans="1:10" ht="27.6">
      <c r="A23" s="2" t="s">
        <v>185</v>
      </c>
      <c r="B23" s="2" t="s">
        <v>186</v>
      </c>
      <c r="C23" s="2" t="s">
        <v>187</v>
      </c>
      <c r="D23" s="2" t="s">
        <v>188</v>
      </c>
      <c r="E23" s="2" t="s">
        <v>72</v>
      </c>
      <c r="F23" s="2" t="s">
        <v>189</v>
      </c>
      <c r="G23" s="2" t="s">
        <v>54</v>
      </c>
      <c r="H23" s="2" t="s">
        <v>4</v>
      </c>
      <c r="I23" s="2" t="s">
        <v>171</v>
      </c>
      <c r="J23" s="2" t="s">
        <v>190</v>
      </c>
    </row>
    <row r="24" spans="1:10" ht="27.6">
      <c r="A24" s="2" t="s">
        <v>191</v>
      </c>
      <c r="B24" s="2" t="s">
        <v>192</v>
      </c>
      <c r="C24" s="2" t="s">
        <v>193</v>
      </c>
      <c r="D24" s="2" t="s">
        <v>194</v>
      </c>
      <c r="E24" s="2" t="s">
        <v>113</v>
      </c>
      <c r="F24" s="2" t="s">
        <v>195</v>
      </c>
      <c r="G24" s="2" t="s">
        <v>93</v>
      </c>
      <c r="H24" s="2" t="s">
        <v>4</v>
      </c>
      <c r="I24" s="2" t="s">
        <v>196</v>
      </c>
      <c r="J24" s="2" t="s">
        <v>197</v>
      </c>
    </row>
    <row r="25" spans="1:10" ht="27.6">
      <c r="A25" s="2" t="s">
        <v>198</v>
      </c>
      <c r="B25" s="2" t="s">
        <v>199</v>
      </c>
      <c r="C25" s="2" t="s">
        <v>200</v>
      </c>
      <c r="D25" s="2" t="s">
        <v>201</v>
      </c>
      <c r="E25" s="2" t="s">
        <v>113</v>
      </c>
      <c r="F25" s="2" t="s">
        <v>202</v>
      </c>
      <c r="G25" s="2" t="s">
        <v>93</v>
      </c>
      <c r="H25" s="2" t="s">
        <v>4</v>
      </c>
      <c r="I25" s="2" t="s">
        <v>191</v>
      </c>
      <c r="J25" s="2" t="s">
        <v>203</v>
      </c>
    </row>
    <row r="26" spans="1:10" ht="27.6">
      <c r="A26" s="2" t="s">
        <v>204</v>
      </c>
      <c r="B26" s="2" t="s">
        <v>205</v>
      </c>
      <c r="C26" s="2" t="s">
        <v>206</v>
      </c>
      <c r="D26" s="2" t="s">
        <v>207</v>
      </c>
      <c r="E26" s="2" t="s">
        <v>156</v>
      </c>
      <c r="F26" s="2" t="s">
        <v>208</v>
      </c>
      <c r="G26" s="2" t="s">
        <v>93</v>
      </c>
      <c r="H26" s="2" t="s">
        <v>4</v>
      </c>
      <c r="I26" s="2" t="s">
        <v>163</v>
      </c>
      <c r="J26" s="2" t="s">
        <v>209</v>
      </c>
    </row>
    <row r="27" spans="1:10" ht="27.6">
      <c r="A27" s="2" t="s">
        <v>210</v>
      </c>
      <c r="B27" s="2" t="s">
        <v>211</v>
      </c>
      <c r="C27" s="2" t="s">
        <v>212</v>
      </c>
      <c r="D27" s="2" t="s">
        <v>213</v>
      </c>
      <c r="E27" s="2" t="s">
        <v>72</v>
      </c>
      <c r="F27" s="2" t="s">
        <v>214</v>
      </c>
      <c r="G27" s="2" t="s">
        <v>54</v>
      </c>
      <c r="H27" s="2" t="s">
        <v>4</v>
      </c>
      <c r="I27" s="2" t="s">
        <v>215</v>
      </c>
      <c r="J27" s="2" t="s">
        <v>216</v>
      </c>
    </row>
    <row r="28" spans="1:10" ht="27.6">
      <c r="A28" s="2" t="s">
        <v>217</v>
      </c>
      <c r="B28" s="2" t="s">
        <v>218</v>
      </c>
      <c r="C28" s="2" t="s">
        <v>219</v>
      </c>
      <c r="D28" s="2" t="s">
        <v>220</v>
      </c>
      <c r="E28" s="2" t="s">
        <v>221</v>
      </c>
      <c r="F28" s="2" t="s">
        <v>222</v>
      </c>
      <c r="G28" s="2" t="s">
        <v>54</v>
      </c>
      <c r="H28" s="2" t="s">
        <v>4</v>
      </c>
      <c r="I28" s="2" t="s">
        <v>103</v>
      </c>
      <c r="J28" s="2" t="s">
        <v>223</v>
      </c>
    </row>
    <row r="29" spans="1:10" ht="27.6">
      <c r="A29" s="2" t="s">
        <v>224</v>
      </c>
      <c r="B29" s="2" t="s">
        <v>225</v>
      </c>
      <c r="C29" s="2" t="s">
        <v>226</v>
      </c>
      <c r="D29" s="2" t="s">
        <v>227</v>
      </c>
      <c r="E29" s="2" t="s">
        <v>228</v>
      </c>
      <c r="F29" s="2" t="s">
        <v>229</v>
      </c>
      <c r="G29" s="2" t="s">
        <v>54</v>
      </c>
      <c r="H29" s="2" t="s">
        <v>4</v>
      </c>
      <c r="I29" s="2" t="s">
        <v>110</v>
      </c>
      <c r="J29" s="2" t="s">
        <v>230</v>
      </c>
    </row>
    <row r="30" spans="1:10" ht="27.6">
      <c r="A30" s="2" t="s">
        <v>231</v>
      </c>
      <c r="B30" s="2" t="s">
        <v>232</v>
      </c>
      <c r="C30" s="2" t="s">
        <v>233</v>
      </c>
      <c r="D30" s="2" t="s">
        <v>234</v>
      </c>
      <c r="E30" s="2" t="s">
        <v>113</v>
      </c>
      <c r="F30" s="2" t="s">
        <v>235</v>
      </c>
      <c r="G30" s="2" t="s">
        <v>54</v>
      </c>
      <c r="H30" s="2" t="s">
        <v>4</v>
      </c>
      <c r="I30" s="2" t="s">
        <v>116</v>
      </c>
      <c r="J30" s="2" t="s">
        <v>236</v>
      </c>
    </row>
    <row r="31" spans="1:10" ht="27.6">
      <c r="A31" s="2" t="s">
        <v>237</v>
      </c>
      <c r="B31" s="2" t="s">
        <v>238</v>
      </c>
      <c r="C31" s="2" t="s">
        <v>239</v>
      </c>
      <c r="D31" s="2" t="s">
        <v>240</v>
      </c>
      <c r="E31" s="2" t="s">
        <v>79</v>
      </c>
      <c r="F31" s="2" t="s">
        <v>241</v>
      </c>
      <c r="G31" s="2" t="s">
        <v>54</v>
      </c>
      <c r="H31" s="2" t="s">
        <v>4</v>
      </c>
      <c r="I31" s="2" t="s">
        <v>128</v>
      </c>
      <c r="J31" s="2" t="s">
        <v>242</v>
      </c>
    </row>
    <row r="32" spans="1:10" ht="41.4">
      <c r="A32" s="2" t="s">
        <v>243</v>
      </c>
      <c r="B32" s="2" t="s">
        <v>238</v>
      </c>
      <c r="C32" s="2" t="s">
        <v>244</v>
      </c>
      <c r="D32" s="2" t="s">
        <v>245</v>
      </c>
      <c r="E32" s="2" t="s">
        <v>79</v>
      </c>
      <c r="F32" s="2" t="s">
        <v>246</v>
      </c>
      <c r="G32" s="2" t="s">
        <v>54</v>
      </c>
      <c r="H32" s="2" t="s">
        <v>4</v>
      </c>
      <c r="I32" s="2" t="s">
        <v>128</v>
      </c>
      <c r="J32" s="2" t="s">
        <v>247</v>
      </c>
    </row>
    <row r="33" spans="1:10">
      <c r="A33" s="2" t="s">
        <v>248</v>
      </c>
      <c r="B33" s="2" t="s">
        <v>249</v>
      </c>
      <c r="C33" s="2" t="s">
        <v>250</v>
      </c>
      <c r="D33" s="2" t="s">
        <v>251</v>
      </c>
      <c r="E33" s="2" t="s">
        <v>252</v>
      </c>
      <c r="F33" s="2" t="s">
        <v>253</v>
      </c>
      <c r="G33" s="2" t="s">
        <v>54</v>
      </c>
      <c r="H33" s="2" t="s">
        <v>4</v>
      </c>
      <c r="I33" s="2" t="s">
        <v>254</v>
      </c>
      <c r="J33" s="2" t="s">
        <v>255</v>
      </c>
    </row>
    <row r="34" spans="1:10" ht="41.4">
      <c r="A34" s="2" t="s">
        <v>256</v>
      </c>
      <c r="B34" s="2" t="s">
        <v>257</v>
      </c>
      <c r="C34" s="2" t="s">
        <v>258</v>
      </c>
      <c r="D34" s="2" t="s">
        <v>259</v>
      </c>
      <c r="E34" s="2" t="s">
        <v>260</v>
      </c>
      <c r="F34" s="2" t="s">
        <v>261</v>
      </c>
      <c r="G34" s="2" t="s">
        <v>54</v>
      </c>
      <c r="H34" s="2" t="s">
        <v>4</v>
      </c>
      <c r="I34" s="2" t="s">
        <v>122</v>
      </c>
      <c r="J34" s="2" t="s">
        <v>262</v>
      </c>
    </row>
    <row r="35" spans="1:10" ht="27.6">
      <c r="A35" s="2" t="s">
        <v>263</v>
      </c>
      <c r="B35" s="2" t="s">
        <v>139</v>
      </c>
      <c r="C35" s="2" t="s">
        <v>264</v>
      </c>
      <c r="D35" s="2" t="s">
        <v>265</v>
      </c>
      <c r="E35" s="2" t="s">
        <v>266</v>
      </c>
      <c r="F35" s="2" t="s">
        <v>142</v>
      </c>
      <c r="G35" s="2" t="s">
        <v>93</v>
      </c>
      <c r="H35" s="2" t="s">
        <v>4</v>
      </c>
      <c r="I35" s="2" t="s">
        <v>138</v>
      </c>
      <c r="J35" s="2" t="s">
        <v>267</v>
      </c>
    </row>
    <row r="36" spans="1:10" ht="41.4">
      <c r="A36" s="2" t="s">
        <v>268</v>
      </c>
      <c r="B36" s="2" t="s">
        <v>269</v>
      </c>
      <c r="C36" s="2" t="s">
        <v>270</v>
      </c>
      <c r="D36" s="2" t="s">
        <v>271</v>
      </c>
      <c r="E36" s="2" t="s">
        <v>272</v>
      </c>
      <c r="F36" s="2" t="s">
        <v>273</v>
      </c>
      <c r="G36" s="2" t="s">
        <v>54</v>
      </c>
      <c r="H36" s="2" t="s">
        <v>4</v>
      </c>
      <c r="I36" s="2" t="s">
        <v>15</v>
      </c>
      <c r="J36" s="2" t="s">
        <v>274</v>
      </c>
    </row>
    <row r="37" spans="1:10" ht="27.6">
      <c r="A37" s="2" t="s">
        <v>275</v>
      </c>
      <c r="B37" s="2" t="s">
        <v>276</v>
      </c>
      <c r="C37" s="2" t="s">
        <v>277</v>
      </c>
      <c r="D37" s="2" t="s">
        <v>278</v>
      </c>
      <c r="E37" s="2" t="s">
        <v>59</v>
      </c>
      <c r="F37" s="2" t="s">
        <v>279</v>
      </c>
      <c r="G37" s="2" t="s">
        <v>150</v>
      </c>
      <c r="H37" s="2" t="s">
        <v>4</v>
      </c>
      <c r="I37" s="2" t="s">
        <v>224</v>
      </c>
      <c r="J37" s="2" t="s">
        <v>280</v>
      </c>
    </row>
    <row r="38" spans="1:10" ht="27.6">
      <c r="A38" s="2" t="s">
        <v>281</v>
      </c>
      <c r="B38" s="2" t="s">
        <v>282</v>
      </c>
      <c r="C38" s="2" t="s">
        <v>283</v>
      </c>
      <c r="D38" s="2" t="s">
        <v>284</v>
      </c>
      <c r="E38" s="2" t="s">
        <v>285</v>
      </c>
      <c r="F38" s="2" t="s">
        <v>286</v>
      </c>
      <c r="G38" s="2" t="s">
        <v>54</v>
      </c>
      <c r="H38" s="2" t="s">
        <v>4</v>
      </c>
      <c r="I38" s="2" t="s">
        <v>287</v>
      </c>
      <c r="J38" s="2" t="s">
        <v>288</v>
      </c>
    </row>
    <row r="39" spans="1:10" ht="27.6">
      <c r="A39" s="2" t="s">
        <v>289</v>
      </c>
      <c r="B39" s="2" t="s">
        <v>290</v>
      </c>
      <c r="C39" s="2" t="s">
        <v>291</v>
      </c>
      <c r="D39" s="2" t="s">
        <v>292</v>
      </c>
      <c r="E39" s="2" t="s">
        <v>293</v>
      </c>
      <c r="F39" s="2" t="s">
        <v>294</v>
      </c>
      <c r="G39" s="2" t="s">
        <v>54</v>
      </c>
      <c r="H39" s="2" t="s">
        <v>4</v>
      </c>
      <c r="I39" s="2" t="s">
        <v>103</v>
      </c>
      <c r="J39" s="2" t="s">
        <v>295</v>
      </c>
    </row>
    <row r="40" spans="1:10" ht="27.6">
      <c r="A40" s="2" t="s">
        <v>296</v>
      </c>
      <c r="B40" s="2" t="s">
        <v>297</v>
      </c>
      <c r="C40" s="2" t="s">
        <v>298</v>
      </c>
      <c r="D40" s="2" t="s">
        <v>299</v>
      </c>
      <c r="E40" s="2" t="s">
        <v>300</v>
      </c>
      <c r="F40" s="2" t="s">
        <v>301</v>
      </c>
      <c r="G40" s="2" t="s">
        <v>93</v>
      </c>
      <c r="H40" s="2" t="s">
        <v>4</v>
      </c>
      <c r="I40" s="2" t="s">
        <v>116</v>
      </c>
      <c r="J40" s="2" t="s">
        <v>302</v>
      </c>
    </row>
    <row r="41" spans="1:10" ht="27.6">
      <c r="A41" s="2" t="s">
        <v>303</v>
      </c>
      <c r="B41" s="2" t="s">
        <v>297</v>
      </c>
      <c r="C41" s="2" t="s">
        <v>304</v>
      </c>
      <c r="D41" s="2" t="s">
        <v>305</v>
      </c>
      <c r="E41" s="2" t="s">
        <v>300</v>
      </c>
      <c r="F41" s="2" t="s">
        <v>306</v>
      </c>
      <c r="G41" s="2" t="s">
        <v>54</v>
      </c>
      <c r="H41" s="2" t="s">
        <v>4</v>
      </c>
      <c r="I41" s="2" t="s">
        <v>307</v>
      </c>
      <c r="J41" s="2" t="s">
        <v>308</v>
      </c>
    </row>
    <row r="42" spans="1:10" ht="27.6">
      <c r="A42" s="2" t="s">
        <v>309</v>
      </c>
      <c r="B42" s="2" t="s">
        <v>297</v>
      </c>
      <c r="C42" s="2" t="s">
        <v>310</v>
      </c>
      <c r="D42" s="2" t="s">
        <v>311</v>
      </c>
      <c r="E42" s="2" t="s">
        <v>300</v>
      </c>
      <c r="F42" s="2" t="s">
        <v>312</v>
      </c>
      <c r="G42" s="2" t="s">
        <v>93</v>
      </c>
      <c r="H42" s="2" t="s">
        <v>4</v>
      </c>
      <c r="I42" s="2" t="s">
        <v>116</v>
      </c>
      <c r="J42" s="2" t="s">
        <v>313</v>
      </c>
    </row>
    <row r="43" spans="1:10">
      <c r="A43" s="2" t="s">
        <v>314</v>
      </c>
      <c r="B43" s="2" t="s">
        <v>297</v>
      </c>
      <c r="C43" s="2" t="s">
        <v>315</v>
      </c>
      <c r="D43" s="2" t="s">
        <v>316</v>
      </c>
      <c r="E43" s="2" t="s">
        <v>317</v>
      </c>
      <c r="F43" s="2" t="s">
        <v>318</v>
      </c>
      <c r="G43" s="2" t="s">
        <v>54</v>
      </c>
      <c r="H43" s="2" t="s">
        <v>4</v>
      </c>
      <c r="I43" s="2" t="s">
        <v>128</v>
      </c>
      <c r="J43" s="2" t="s">
        <v>319</v>
      </c>
    </row>
    <row r="44" spans="1:10">
      <c r="A44" s="2" t="s">
        <v>320</v>
      </c>
      <c r="B44" s="2" t="s">
        <v>321</v>
      </c>
      <c r="C44" s="2" t="s">
        <v>322</v>
      </c>
      <c r="D44" s="2" t="s">
        <v>323</v>
      </c>
      <c r="E44" s="2" t="s">
        <v>300</v>
      </c>
      <c r="F44" s="2" t="s">
        <v>324</v>
      </c>
      <c r="G44" s="2" t="s">
        <v>54</v>
      </c>
      <c r="H44" s="2" t="s">
        <v>4</v>
      </c>
      <c r="I44" s="2" t="s">
        <v>325</v>
      </c>
      <c r="J44" s="2" t="s">
        <v>326</v>
      </c>
    </row>
    <row r="45" spans="1:10" ht="27.6">
      <c r="A45" s="2" t="s">
        <v>327</v>
      </c>
      <c r="B45" s="2" t="s">
        <v>321</v>
      </c>
      <c r="C45" s="2" t="s">
        <v>328</v>
      </c>
      <c r="D45" s="2" t="s">
        <v>329</v>
      </c>
      <c r="E45" s="2" t="s">
        <v>300</v>
      </c>
      <c r="F45" s="2" t="s">
        <v>330</v>
      </c>
      <c r="G45" s="2" t="s">
        <v>54</v>
      </c>
      <c r="H45" s="2" t="s">
        <v>4</v>
      </c>
      <c r="I45" s="2" t="s">
        <v>331</v>
      </c>
      <c r="J45" s="2" t="s">
        <v>332</v>
      </c>
    </row>
    <row r="46" spans="1:10">
      <c r="A46" s="2" t="s">
        <v>333</v>
      </c>
      <c r="B46" s="2" t="s">
        <v>334</v>
      </c>
      <c r="C46" s="2" t="s">
        <v>335</v>
      </c>
      <c r="D46" s="2" t="s">
        <v>336</v>
      </c>
      <c r="E46" s="2" t="s">
        <v>300</v>
      </c>
      <c r="F46" s="2" t="s">
        <v>337</v>
      </c>
      <c r="G46" s="2" t="s">
        <v>93</v>
      </c>
      <c r="H46" s="2" t="s">
        <v>4</v>
      </c>
      <c r="I46" s="2" t="s">
        <v>116</v>
      </c>
      <c r="J46" s="2" t="s">
        <v>338</v>
      </c>
    </row>
    <row r="47" spans="1:10" ht="27.6">
      <c r="A47" s="2" t="s">
        <v>339</v>
      </c>
      <c r="B47" s="2" t="s">
        <v>334</v>
      </c>
      <c r="C47" s="2" t="s">
        <v>340</v>
      </c>
      <c r="D47" s="2" t="s">
        <v>341</v>
      </c>
      <c r="E47" s="2" t="s">
        <v>342</v>
      </c>
      <c r="F47" s="2" t="s">
        <v>343</v>
      </c>
      <c r="G47" s="2" t="s">
        <v>54</v>
      </c>
      <c r="H47" s="2" t="s">
        <v>4</v>
      </c>
      <c r="I47" s="2" t="s">
        <v>331</v>
      </c>
      <c r="J47" s="2" t="s">
        <v>344</v>
      </c>
    </row>
    <row r="48" spans="1:10" ht="27.6">
      <c r="A48" s="2" t="s">
        <v>345</v>
      </c>
      <c r="B48" s="2" t="s">
        <v>139</v>
      </c>
      <c r="C48" s="2" t="s">
        <v>346</v>
      </c>
      <c r="D48" s="2" t="s">
        <v>347</v>
      </c>
      <c r="E48" s="2" t="s">
        <v>348</v>
      </c>
      <c r="F48" s="2" t="s">
        <v>349</v>
      </c>
      <c r="G48" s="2" t="s">
        <v>93</v>
      </c>
      <c r="H48" s="2" t="s">
        <v>4</v>
      </c>
      <c r="I48" s="2" t="s">
        <v>350</v>
      </c>
      <c r="J48" s="2" t="s">
        <v>351</v>
      </c>
    </row>
    <row r="49" spans="1:10" ht="27.6">
      <c r="A49" s="2" t="s">
        <v>352</v>
      </c>
      <c r="B49" s="2" t="s">
        <v>139</v>
      </c>
      <c r="C49" s="2" t="s">
        <v>353</v>
      </c>
      <c r="D49" s="2" t="s">
        <v>354</v>
      </c>
      <c r="E49" s="2" t="s">
        <v>355</v>
      </c>
      <c r="F49" s="2" t="s">
        <v>356</v>
      </c>
      <c r="G49" s="2" t="s">
        <v>93</v>
      </c>
      <c r="H49" s="2" t="s">
        <v>4</v>
      </c>
      <c r="I49" s="2" t="s">
        <v>62</v>
      </c>
      <c r="J49" s="2" t="s">
        <v>357</v>
      </c>
    </row>
    <row r="50" spans="1:10" ht="27.6">
      <c r="A50" s="2" t="s">
        <v>358</v>
      </c>
      <c r="B50" s="2" t="s">
        <v>139</v>
      </c>
      <c r="C50" s="2" t="s">
        <v>359</v>
      </c>
      <c r="D50" s="2" t="s">
        <v>360</v>
      </c>
      <c r="E50" s="2" t="s">
        <v>361</v>
      </c>
      <c r="F50" s="2" t="s">
        <v>362</v>
      </c>
      <c r="G50" s="2" t="s">
        <v>150</v>
      </c>
      <c r="H50" s="2" t="s">
        <v>4</v>
      </c>
      <c r="I50" s="2" t="s">
        <v>103</v>
      </c>
      <c r="J50" s="2" t="s">
        <v>363</v>
      </c>
    </row>
    <row r="51" spans="1:10" ht="27.6">
      <c r="A51" s="2" t="s">
        <v>364</v>
      </c>
      <c r="B51" s="2" t="s">
        <v>365</v>
      </c>
      <c r="C51" s="2" t="s">
        <v>366</v>
      </c>
      <c r="D51" s="2" t="s">
        <v>367</v>
      </c>
      <c r="E51" s="2" t="s">
        <v>368</v>
      </c>
      <c r="F51" s="2" t="s">
        <v>369</v>
      </c>
      <c r="G51" s="2" t="s">
        <v>150</v>
      </c>
      <c r="H51" s="2" t="s">
        <v>4</v>
      </c>
      <c r="I51" s="2" t="s">
        <v>82</v>
      </c>
      <c r="J51" s="2" t="s">
        <v>370</v>
      </c>
    </row>
    <row r="52" spans="1:10" ht="27.6">
      <c r="A52" s="2" t="s">
        <v>371</v>
      </c>
      <c r="B52" s="2" t="s">
        <v>365</v>
      </c>
      <c r="C52" s="2" t="s">
        <v>372</v>
      </c>
      <c r="D52" s="2" t="s">
        <v>373</v>
      </c>
      <c r="E52" s="2" t="s">
        <v>374</v>
      </c>
      <c r="F52" s="2" t="s">
        <v>375</v>
      </c>
      <c r="G52" s="2" t="s">
        <v>150</v>
      </c>
      <c r="H52" s="2" t="s">
        <v>4</v>
      </c>
      <c r="I52" s="2" t="s">
        <v>133</v>
      </c>
      <c r="J52" s="2" t="s">
        <v>376</v>
      </c>
    </row>
    <row r="53" spans="1:10" ht="27.6">
      <c r="A53" s="2" t="s">
        <v>377</v>
      </c>
      <c r="B53" s="2" t="s">
        <v>378</v>
      </c>
      <c r="C53" s="2" t="s">
        <v>379</v>
      </c>
      <c r="D53" s="2" t="s">
        <v>380</v>
      </c>
      <c r="E53" s="2" t="s">
        <v>381</v>
      </c>
      <c r="F53" s="2" t="s">
        <v>382</v>
      </c>
      <c r="G53" s="2" t="s">
        <v>54</v>
      </c>
      <c r="H53" s="2" t="s">
        <v>4</v>
      </c>
      <c r="I53" s="2" t="s">
        <v>110</v>
      </c>
      <c r="J53" s="2" t="s">
        <v>383</v>
      </c>
    </row>
    <row r="54" spans="1:10" ht="27.6">
      <c r="A54" s="2" t="s">
        <v>384</v>
      </c>
      <c r="B54" s="2" t="s">
        <v>378</v>
      </c>
      <c r="C54" s="2" t="s">
        <v>385</v>
      </c>
      <c r="D54" s="2" t="s">
        <v>386</v>
      </c>
      <c r="E54" s="2" t="s">
        <v>113</v>
      </c>
      <c r="F54" s="2" t="s">
        <v>387</v>
      </c>
      <c r="G54" s="2" t="s">
        <v>54</v>
      </c>
      <c r="H54" s="2" t="s">
        <v>4</v>
      </c>
      <c r="I54" s="2" t="s">
        <v>116</v>
      </c>
      <c r="J54" s="2" t="s">
        <v>388</v>
      </c>
    </row>
    <row r="55" spans="1:10">
      <c r="A55" s="2" t="s">
        <v>389</v>
      </c>
      <c r="B55" s="2" t="s">
        <v>378</v>
      </c>
      <c r="C55" s="2" t="s">
        <v>390</v>
      </c>
      <c r="D55" s="2" t="s">
        <v>391</v>
      </c>
      <c r="E55" s="2" t="s">
        <v>156</v>
      </c>
      <c r="F55" s="2" t="s">
        <v>392</v>
      </c>
      <c r="G55" s="2" t="s">
        <v>54</v>
      </c>
      <c r="H55" s="2" t="s">
        <v>4</v>
      </c>
      <c r="I55" s="2" t="s">
        <v>393</v>
      </c>
      <c r="J55" s="2" t="s">
        <v>394</v>
      </c>
    </row>
    <row r="56" spans="1:10" ht="27.6">
      <c r="A56" s="2" t="s">
        <v>395</v>
      </c>
      <c r="B56" s="2" t="s">
        <v>396</v>
      </c>
      <c r="C56" s="2" t="s">
        <v>397</v>
      </c>
      <c r="D56" s="2" t="s">
        <v>398</v>
      </c>
      <c r="E56" s="2" t="s">
        <v>113</v>
      </c>
      <c r="F56" s="2" t="s">
        <v>399</v>
      </c>
      <c r="G56" s="2" t="s">
        <v>93</v>
      </c>
      <c r="H56" s="2" t="s">
        <v>4</v>
      </c>
      <c r="I56" s="2" t="s">
        <v>303</v>
      </c>
      <c r="J56" s="2" t="s">
        <v>400</v>
      </c>
    </row>
    <row r="57" spans="1:10" ht="27.6">
      <c r="A57" s="2" t="s">
        <v>401</v>
      </c>
      <c r="B57" s="2" t="s">
        <v>396</v>
      </c>
      <c r="C57" s="2" t="s">
        <v>402</v>
      </c>
      <c r="D57" s="2" t="s">
        <v>403</v>
      </c>
      <c r="E57" s="2" t="s">
        <v>72</v>
      </c>
      <c r="F57" s="2" t="s">
        <v>404</v>
      </c>
      <c r="G57" s="2" t="s">
        <v>93</v>
      </c>
      <c r="H57" s="2" t="s">
        <v>4</v>
      </c>
      <c r="I57" s="2" t="s">
        <v>405</v>
      </c>
      <c r="J57" s="2" t="s">
        <v>406</v>
      </c>
    </row>
    <row r="58" spans="1:10" ht="27.6">
      <c r="A58" s="2" t="s">
        <v>407</v>
      </c>
      <c r="B58" s="2" t="s">
        <v>396</v>
      </c>
      <c r="C58" s="2" t="s">
        <v>408</v>
      </c>
      <c r="D58" s="2" t="s">
        <v>409</v>
      </c>
      <c r="E58" s="2" t="s">
        <v>113</v>
      </c>
      <c r="F58" s="2" t="s">
        <v>410</v>
      </c>
      <c r="G58" s="2" t="s">
        <v>93</v>
      </c>
      <c r="H58" s="2" t="s">
        <v>4</v>
      </c>
      <c r="I58" s="2" t="s">
        <v>411</v>
      </c>
      <c r="J58" s="2" t="s">
        <v>412</v>
      </c>
    </row>
    <row r="59" spans="1:10" ht="27.6">
      <c r="A59" s="2" t="s">
        <v>413</v>
      </c>
      <c r="B59" s="2" t="s">
        <v>414</v>
      </c>
      <c r="C59" s="2" t="s">
        <v>415</v>
      </c>
      <c r="D59" s="2" t="s">
        <v>416</v>
      </c>
      <c r="E59" s="2" t="s">
        <v>221</v>
      </c>
      <c r="F59" s="2" t="s">
        <v>417</v>
      </c>
      <c r="G59" s="2" t="s">
        <v>54</v>
      </c>
      <c r="H59" s="2" t="s">
        <v>4</v>
      </c>
      <c r="I59" s="2" t="s">
        <v>418</v>
      </c>
      <c r="J59" s="2" t="s">
        <v>419</v>
      </c>
    </row>
    <row r="60" spans="1:10" ht="27.6">
      <c r="A60" s="2" t="s">
        <v>420</v>
      </c>
      <c r="B60" s="2" t="s">
        <v>414</v>
      </c>
      <c r="C60" s="2" t="s">
        <v>421</v>
      </c>
      <c r="D60" s="2" t="s">
        <v>422</v>
      </c>
      <c r="E60" s="2" t="s">
        <v>79</v>
      </c>
      <c r="F60" s="2" t="s">
        <v>423</v>
      </c>
      <c r="G60" s="2" t="s">
        <v>54</v>
      </c>
      <c r="H60" s="2" t="s">
        <v>4</v>
      </c>
      <c r="I60" s="2" t="s">
        <v>237</v>
      </c>
      <c r="J60" s="2" t="s">
        <v>424</v>
      </c>
    </row>
    <row r="61" spans="1:10" ht="27.6">
      <c r="A61" s="2" t="s">
        <v>425</v>
      </c>
      <c r="B61" s="2" t="s">
        <v>426</v>
      </c>
      <c r="C61" s="2" t="s">
        <v>427</v>
      </c>
      <c r="D61" s="2" t="s">
        <v>428</v>
      </c>
      <c r="E61" s="2" t="s">
        <v>429</v>
      </c>
      <c r="F61" s="2" t="s">
        <v>430</v>
      </c>
      <c r="G61" s="2" t="s">
        <v>93</v>
      </c>
      <c r="H61" s="2" t="s">
        <v>4</v>
      </c>
      <c r="I61" s="2" t="s">
        <v>431</v>
      </c>
      <c r="J61" s="2" t="s">
        <v>432</v>
      </c>
    </row>
    <row r="62" spans="1:10">
      <c r="A62" s="2" t="s">
        <v>433</v>
      </c>
      <c r="B62" s="2" t="s">
        <v>434</v>
      </c>
      <c r="C62" s="2" t="s">
        <v>435</v>
      </c>
      <c r="D62" s="2" t="s">
        <v>436</v>
      </c>
      <c r="E62" s="2" t="s">
        <v>72</v>
      </c>
      <c r="F62" s="2" t="s">
        <v>437</v>
      </c>
      <c r="G62" s="2" t="s">
        <v>93</v>
      </c>
      <c r="H62" s="2" t="s">
        <v>4</v>
      </c>
      <c r="I62" s="2" t="s">
        <v>210</v>
      </c>
      <c r="J62" s="2" t="s">
        <v>438</v>
      </c>
    </row>
    <row r="63" spans="1:10" ht="27.6">
      <c r="A63" s="2" t="s">
        <v>439</v>
      </c>
      <c r="B63" s="2" t="s">
        <v>440</v>
      </c>
      <c r="C63" s="2" t="s">
        <v>441</v>
      </c>
      <c r="D63" s="2" t="s">
        <v>442</v>
      </c>
      <c r="E63" s="2" t="s">
        <v>72</v>
      </c>
      <c r="F63" s="2" t="s">
        <v>443</v>
      </c>
      <c r="G63" s="2" t="s">
        <v>150</v>
      </c>
      <c r="H63" s="2" t="s">
        <v>4</v>
      </c>
      <c r="I63" s="2" t="s">
        <v>444</v>
      </c>
      <c r="J63" s="2" t="s">
        <v>445</v>
      </c>
    </row>
    <row r="64" spans="1:10" ht="27.6">
      <c r="A64" s="2" t="s">
        <v>446</v>
      </c>
      <c r="B64" s="2" t="s">
        <v>447</v>
      </c>
      <c r="C64" s="2" t="s">
        <v>448</v>
      </c>
      <c r="D64" s="2" t="s">
        <v>449</v>
      </c>
      <c r="E64" s="2" t="s">
        <v>52</v>
      </c>
      <c r="F64" s="2" t="s">
        <v>450</v>
      </c>
      <c r="G64" s="2" t="s">
        <v>54</v>
      </c>
      <c r="H64" s="2" t="s">
        <v>4</v>
      </c>
      <c r="I64" s="2" t="s">
        <v>451</v>
      </c>
      <c r="J64" s="2" t="s">
        <v>452</v>
      </c>
    </row>
    <row r="65" spans="1:10" ht="41.4">
      <c r="A65" s="2" t="s">
        <v>453</v>
      </c>
      <c r="B65" s="2" t="s">
        <v>454</v>
      </c>
      <c r="C65" s="2" t="s">
        <v>455</v>
      </c>
      <c r="D65" s="2" t="s">
        <v>456</v>
      </c>
      <c r="E65" s="2" t="s">
        <v>52</v>
      </c>
      <c r="F65" s="2" t="s">
        <v>457</v>
      </c>
      <c r="G65" s="2" t="s">
        <v>54</v>
      </c>
      <c r="H65" s="2" t="s">
        <v>4</v>
      </c>
      <c r="I65" s="2" t="s">
        <v>458</v>
      </c>
      <c r="J65" s="2" t="s">
        <v>459</v>
      </c>
    </row>
    <row r="66" spans="1:10" ht="27.6">
      <c r="A66" s="2" t="s">
        <v>460</v>
      </c>
      <c r="B66" s="2" t="s">
        <v>461</v>
      </c>
      <c r="C66" s="2" t="s">
        <v>462</v>
      </c>
      <c r="D66" s="2" t="s">
        <v>463</v>
      </c>
      <c r="E66" s="2" t="s">
        <v>464</v>
      </c>
      <c r="F66" s="2" t="s">
        <v>465</v>
      </c>
      <c r="G66" s="2" t="s">
        <v>54</v>
      </c>
      <c r="H66" s="2" t="s">
        <v>4</v>
      </c>
      <c r="I66" s="2" t="s">
        <v>453</v>
      </c>
      <c r="J66" s="2" t="s">
        <v>466</v>
      </c>
    </row>
    <row r="67" spans="1:10" ht="27.6">
      <c r="A67" s="2" t="s">
        <v>467</v>
      </c>
      <c r="B67" s="2" t="s">
        <v>468</v>
      </c>
      <c r="C67" s="2" t="s">
        <v>469</v>
      </c>
      <c r="D67" s="2" t="s">
        <v>470</v>
      </c>
      <c r="E67" s="2" t="s">
        <v>52</v>
      </c>
      <c r="F67" s="2" t="s">
        <v>471</v>
      </c>
      <c r="G67" s="2" t="s">
        <v>93</v>
      </c>
      <c r="H67" s="2" t="s">
        <v>4</v>
      </c>
      <c r="I67" s="2" t="s">
        <v>453</v>
      </c>
      <c r="J67" s="2" t="s">
        <v>472</v>
      </c>
    </row>
    <row r="68" spans="1:10" ht="27.6">
      <c r="A68" s="2" t="s">
        <v>473</v>
      </c>
      <c r="B68" s="2" t="s">
        <v>474</v>
      </c>
      <c r="C68" s="2" t="s">
        <v>475</v>
      </c>
      <c r="D68" s="2" t="s">
        <v>476</v>
      </c>
      <c r="E68" s="2" t="s">
        <v>79</v>
      </c>
      <c r="F68" s="2" t="s">
        <v>477</v>
      </c>
      <c r="G68" s="2" t="s">
        <v>54</v>
      </c>
      <c r="H68" s="2" t="s">
        <v>4</v>
      </c>
      <c r="I68" s="2" t="s">
        <v>243</v>
      </c>
      <c r="J68" s="2" t="s">
        <v>478</v>
      </c>
    </row>
    <row r="69" spans="1:10" ht="27.6">
      <c r="A69" s="2" t="s">
        <v>479</v>
      </c>
      <c r="B69" s="2" t="s">
        <v>480</v>
      </c>
      <c r="C69" s="2" t="s">
        <v>481</v>
      </c>
      <c r="D69" s="2" t="s">
        <v>482</v>
      </c>
      <c r="E69" s="2" t="s">
        <v>91</v>
      </c>
      <c r="F69" s="2" t="s">
        <v>483</v>
      </c>
      <c r="G69" s="2" t="s">
        <v>150</v>
      </c>
      <c r="H69" s="2" t="s">
        <v>4</v>
      </c>
      <c r="I69" s="2" t="s">
        <v>133</v>
      </c>
      <c r="J69" s="2" t="s">
        <v>484</v>
      </c>
    </row>
    <row r="70" spans="1:10" ht="27.6">
      <c r="A70" s="2" t="s">
        <v>485</v>
      </c>
      <c r="B70" s="2" t="s">
        <v>486</v>
      </c>
      <c r="C70" s="2" t="s">
        <v>487</v>
      </c>
      <c r="D70" s="2" t="s">
        <v>488</v>
      </c>
      <c r="E70" s="2" t="s">
        <v>489</v>
      </c>
      <c r="F70" s="2" t="s">
        <v>490</v>
      </c>
      <c r="G70" s="2" t="s">
        <v>54</v>
      </c>
      <c r="H70" s="2" t="s">
        <v>4</v>
      </c>
      <c r="I70" s="2" t="s">
        <v>491</v>
      </c>
      <c r="J70" s="2" t="s">
        <v>492</v>
      </c>
    </row>
    <row r="71" spans="1:10" ht="27.6">
      <c r="A71" s="2" t="s">
        <v>493</v>
      </c>
      <c r="B71" s="2" t="s">
        <v>276</v>
      </c>
      <c r="C71" s="2" t="s">
        <v>494</v>
      </c>
      <c r="D71" s="2" t="s">
        <v>495</v>
      </c>
      <c r="E71" s="2" t="s">
        <v>52</v>
      </c>
      <c r="F71" s="2" t="s">
        <v>279</v>
      </c>
      <c r="G71" s="2" t="s">
        <v>93</v>
      </c>
      <c r="H71" s="2" t="s">
        <v>4</v>
      </c>
      <c r="I71" s="2" t="s">
        <v>275</v>
      </c>
      <c r="J71" s="2" t="s">
        <v>496</v>
      </c>
    </row>
    <row r="72" spans="1:10" ht="27.6">
      <c r="A72" s="2" t="s">
        <v>497</v>
      </c>
      <c r="B72" s="2" t="s">
        <v>498</v>
      </c>
      <c r="C72" s="2" t="s">
        <v>499</v>
      </c>
      <c r="D72" s="2" t="s">
        <v>500</v>
      </c>
      <c r="E72" s="2" t="s">
        <v>489</v>
      </c>
      <c r="F72" s="2" t="s">
        <v>501</v>
      </c>
      <c r="G72" s="2" t="s">
        <v>54</v>
      </c>
      <c r="H72" s="2" t="s">
        <v>4</v>
      </c>
      <c r="I72" s="2" t="s">
        <v>502</v>
      </c>
      <c r="J72" s="2" t="s">
        <v>503</v>
      </c>
    </row>
    <row r="73" spans="1:10" ht="27.6">
      <c r="A73" s="2" t="s">
        <v>504</v>
      </c>
      <c r="B73" s="2" t="s">
        <v>505</v>
      </c>
      <c r="C73" s="2" t="s">
        <v>506</v>
      </c>
      <c r="D73" s="2" t="s">
        <v>507</v>
      </c>
      <c r="E73" s="2" t="s">
        <v>52</v>
      </c>
      <c r="F73" s="2" t="s">
        <v>508</v>
      </c>
      <c r="G73" s="2" t="s">
        <v>54</v>
      </c>
      <c r="H73" s="2" t="s">
        <v>4</v>
      </c>
      <c r="I73" s="2" t="s">
        <v>497</v>
      </c>
      <c r="J73" s="2" t="s">
        <v>509</v>
      </c>
    </row>
    <row r="74" spans="1:10" ht="27.6">
      <c r="A74" s="2" t="s">
        <v>510</v>
      </c>
      <c r="B74" s="2" t="s">
        <v>511</v>
      </c>
      <c r="C74" s="2" t="s">
        <v>512</v>
      </c>
      <c r="D74" s="2" t="s">
        <v>513</v>
      </c>
      <c r="E74" s="2" t="s">
        <v>489</v>
      </c>
      <c r="F74" s="2" t="s">
        <v>514</v>
      </c>
      <c r="G74" s="2" t="s">
        <v>54</v>
      </c>
      <c r="H74" s="2" t="s">
        <v>4</v>
      </c>
      <c r="I74" s="2" t="s">
        <v>515</v>
      </c>
      <c r="J74" s="2" t="s">
        <v>516</v>
      </c>
    </row>
    <row r="75" spans="1:10" ht="27.6">
      <c r="A75" s="2" t="s">
        <v>517</v>
      </c>
      <c r="B75" s="2" t="s">
        <v>518</v>
      </c>
      <c r="C75" s="2" t="s">
        <v>519</v>
      </c>
      <c r="D75" s="2" t="s">
        <v>520</v>
      </c>
      <c r="E75" s="2" t="s">
        <v>72</v>
      </c>
      <c r="F75" s="2" t="s">
        <v>521</v>
      </c>
      <c r="G75" s="2" t="s">
        <v>93</v>
      </c>
      <c r="H75" s="2" t="s">
        <v>4</v>
      </c>
      <c r="I75" s="2"/>
      <c r="J75" s="2" t="s">
        <v>522</v>
      </c>
    </row>
    <row r="76" spans="1:10" ht="27.6">
      <c r="A76" s="2" t="s">
        <v>523</v>
      </c>
      <c r="B76" s="2" t="s">
        <v>518</v>
      </c>
      <c r="C76" s="2" t="s">
        <v>524</v>
      </c>
      <c r="D76" s="2" t="s">
        <v>525</v>
      </c>
      <c r="E76" s="2" t="s">
        <v>72</v>
      </c>
      <c r="F76" s="2" t="s">
        <v>521</v>
      </c>
      <c r="G76" s="2" t="s">
        <v>54</v>
      </c>
      <c r="H76" s="2" t="s">
        <v>4</v>
      </c>
      <c r="I76" s="2"/>
      <c r="J76" s="2" t="s">
        <v>526</v>
      </c>
    </row>
    <row r="77" spans="1:10" ht="27.6">
      <c r="A77" s="2" t="s">
        <v>527</v>
      </c>
      <c r="B77" s="2" t="s">
        <v>518</v>
      </c>
      <c r="C77" s="2" t="s">
        <v>528</v>
      </c>
      <c r="D77" s="2" t="s">
        <v>529</v>
      </c>
      <c r="E77" s="2" t="s">
        <v>530</v>
      </c>
      <c r="F77" s="2" t="s">
        <v>531</v>
      </c>
      <c r="G77" s="2" t="s">
        <v>93</v>
      </c>
      <c r="H77" s="2" t="s">
        <v>4</v>
      </c>
      <c r="I77" s="2"/>
      <c r="J77" s="2" t="s">
        <v>532</v>
      </c>
    </row>
    <row r="78" spans="1:10" ht="27.6">
      <c r="A78" s="2" t="s">
        <v>533</v>
      </c>
      <c r="B78" s="2" t="s">
        <v>518</v>
      </c>
      <c r="C78" s="2" t="s">
        <v>534</v>
      </c>
      <c r="D78" s="2" t="s">
        <v>535</v>
      </c>
      <c r="E78" s="2" t="s">
        <v>536</v>
      </c>
      <c r="F78" s="2" t="s">
        <v>521</v>
      </c>
      <c r="G78" s="2" t="s">
        <v>93</v>
      </c>
      <c r="H78" s="2" t="s">
        <v>4</v>
      </c>
      <c r="I78" s="2"/>
      <c r="J78" s="2" t="s">
        <v>537</v>
      </c>
    </row>
    <row r="79" spans="1:10" ht="27.6">
      <c r="A79" s="2" t="s">
        <v>538</v>
      </c>
      <c r="B79" s="2" t="s">
        <v>539</v>
      </c>
      <c r="C79" s="2" t="s">
        <v>540</v>
      </c>
      <c r="D79" s="2" t="s">
        <v>541</v>
      </c>
      <c r="E79" s="2" t="s">
        <v>79</v>
      </c>
      <c r="F79" s="2" t="s">
        <v>542</v>
      </c>
      <c r="G79" s="2" t="s">
        <v>54</v>
      </c>
      <c r="H79" s="2" t="s">
        <v>4</v>
      </c>
      <c r="I79" s="2"/>
      <c r="J79" s="2" t="s">
        <v>543</v>
      </c>
    </row>
    <row r="80" spans="1:10">
      <c r="A80" s="2" t="s">
        <v>544</v>
      </c>
      <c r="B80" s="2" t="s">
        <v>539</v>
      </c>
      <c r="C80" s="2" t="s">
        <v>545</v>
      </c>
      <c r="D80" s="2" t="s">
        <v>546</v>
      </c>
      <c r="E80" s="2" t="s">
        <v>547</v>
      </c>
      <c r="F80" s="2" t="s">
        <v>548</v>
      </c>
      <c r="G80" s="2" t="s">
        <v>150</v>
      </c>
      <c r="H80" s="2" t="s">
        <v>4</v>
      </c>
      <c r="I80" s="2"/>
      <c r="J80" s="2" t="s">
        <v>549</v>
      </c>
    </row>
    <row r="81" spans="1:10" ht="27.6">
      <c r="A81" s="2" t="s">
        <v>550</v>
      </c>
      <c r="B81" s="2" t="s">
        <v>551</v>
      </c>
      <c r="C81" s="2" t="s">
        <v>552</v>
      </c>
      <c r="D81" s="2" t="s">
        <v>553</v>
      </c>
      <c r="E81" s="2" t="s">
        <v>91</v>
      </c>
      <c r="F81" s="2" t="s">
        <v>554</v>
      </c>
      <c r="G81" s="2" t="s">
        <v>150</v>
      </c>
      <c r="H81" s="2" t="s">
        <v>4</v>
      </c>
      <c r="I81" s="2"/>
      <c r="J81" s="2" t="s">
        <v>555</v>
      </c>
    </row>
    <row r="82" spans="1:10" ht="27.6">
      <c r="A82" s="2" t="s">
        <v>556</v>
      </c>
      <c r="B82" s="2" t="s">
        <v>557</v>
      </c>
      <c r="C82" s="2" t="s">
        <v>558</v>
      </c>
      <c r="D82" s="2" t="s">
        <v>559</v>
      </c>
      <c r="E82" s="2" t="s">
        <v>560</v>
      </c>
      <c r="F82" s="2" t="s">
        <v>561</v>
      </c>
      <c r="G82" s="2" t="s">
        <v>93</v>
      </c>
      <c r="H82" s="2" t="s">
        <v>4</v>
      </c>
      <c r="I82" s="2"/>
      <c r="J82" s="2" t="s">
        <v>562</v>
      </c>
    </row>
    <row r="83" spans="1:10" ht="27.6">
      <c r="A83" s="2" t="s">
        <v>563</v>
      </c>
      <c r="B83" s="2" t="s">
        <v>564</v>
      </c>
      <c r="C83" s="2" t="s">
        <v>565</v>
      </c>
      <c r="D83" s="2" t="s">
        <v>566</v>
      </c>
      <c r="E83" s="2" t="s">
        <v>567</v>
      </c>
      <c r="F83" s="2" t="s">
        <v>568</v>
      </c>
      <c r="G83" s="2" t="s">
        <v>150</v>
      </c>
      <c r="H83" s="2" t="s">
        <v>4</v>
      </c>
      <c r="I83" s="2"/>
      <c r="J83" s="2" t="s">
        <v>569</v>
      </c>
    </row>
    <row r="84" spans="1:10" ht="27.6">
      <c r="A84" s="2" t="s">
        <v>570</v>
      </c>
      <c r="B84" s="2" t="s">
        <v>15</v>
      </c>
      <c r="C84" s="2" t="s">
        <v>571</v>
      </c>
      <c r="D84" s="2" t="s">
        <v>572</v>
      </c>
      <c r="E84" s="2" t="s">
        <v>489</v>
      </c>
      <c r="F84" s="2" t="s">
        <v>573</v>
      </c>
      <c r="G84" s="2" t="s">
        <v>93</v>
      </c>
      <c r="H84" s="2" t="s">
        <v>4</v>
      </c>
      <c r="I84" s="2"/>
      <c r="J84" s="2" t="s">
        <v>574</v>
      </c>
    </row>
  </sheetData>
  <conditionalFormatting sqref="G2:G500">
    <cfRule type="expression" dxfId="39" priority="1">
      <formula>G2="Critical"</formula>
    </cfRule>
    <cfRule type="expression" dxfId="38" priority="2">
      <formula>G2="High"</formula>
    </cfRule>
  </conditionalFormatting>
  <conditionalFormatting sqref="H2:H500">
    <cfRule type="expression" dxfId="37" priority="3">
      <formula>H2="Done"</formula>
    </cfRule>
    <cfRule type="expression" dxfId="36" priority="4">
      <formula>H2="Blocked"</formula>
    </cfRule>
    <cfRule type="expression" dxfId="35" priority="5">
      <formula>H2="In Progress"</formula>
    </cfRule>
  </conditionalFormatting>
  <dataValidations count="2">
    <dataValidation type="list" sqref="G2:G500" xr:uid="{00000000-0002-0000-0100-000000000000}">
      <formula1>"Critical,High,Medium,Low"</formula1>
    </dataValidation>
    <dataValidation type="list" sqref="H2:H500" xr:uid="{00000000-0002-0000-0100-000001000000}">
      <formula1>"Not Started,In Progress,Blocked,Done"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workbookViewId="0"/>
  </sheetViews>
  <sheetFormatPr defaultRowHeight="13.8"/>
  <cols>
    <col min="1" max="1" width="10" customWidth="1"/>
    <col min="2" max="2" width="18" customWidth="1"/>
    <col min="3" max="3" width="32" customWidth="1"/>
    <col min="4" max="4" width="45" customWidth="1"/>
    <col min="5" max="5" width="18" customWidth="1"/>
    <col min="6" max="6" width="30" customWidth="1"/>
    <col min="7" max="7" width="12" customWidth="1"/>
    <col min="8" max="8" width="14" customWidth="1"/>
    <col min="9" max="9" width="24" customWidth="1"/>
    <col min="10" max="10" width="45" customWidth="1"/>
  </cols>
  <sheetData>
    <row r="1" spans="1:10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 ht="41.4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7</v>
      </c>
      <c r="I2" s="2"/>
      <c r="J2" s="2" t="s">
        <v>55</v>
      </c>
    </row>
    <row r="3" spans="1:10" ht="41.4">
      <c r="A3" s="2" t="s">
        <v>56</v>
      </c>
      <c r="B3" s="2" t="s">
        <v>49</v>
      </c>
      <c r="C3" s="2" t="s">
        <v>57</v>
      </c>
      <c r="D3" s="2" t="s">
        <v>58</v>
      </c>
      <c r="E3" s="2" t="s">
        <v>59</v>
      </c>
      <c r="F3" s="2" t="s">
        <v>60</v>
      </c>
      <c r="G3" s="2" t="s">
        <v>54</v>
      </c>
      <c r="H3" s="2" t="s">
        <v>7</v>
      </c>
      <c r="I3" s="2" t="s">
        <v>48</v>
      </c>
      <c r="J3" s="2" t="s">
        <v>61</v>
      </c>
    </row>
    <row r="4" spans="1:10" ht="41.4">
      <c r="A4" s="2" t="s">
        <v>62</v>
      </c>
      <c r="B4" s="2" t="s">
        <v>63</v>
      </c>
      <c r="C4" s="2" t="s">
        <v>64</v>
      </c>
      <c r="D4" s="2" t="s">
        <v>65</v>
      </c>
      <c r="E4" s="2" t="s">
        <v>66</v>
      </c>
      <c r="F4" s="2" t="s">
        <v>67</v>
      </c>
      <c r="G4" s="2" t="s">
        <v>54</v>
      </c>
      <c r="H4" s="2" t="s">
        <v>7</v>
      </c>
      <c r="I4" s="2" t="s">
        <v>56</v>
      </c>
      <c r="J4" s="2" t="s">
        <v>68</v>
      </c>
    </row>
    <row r="5" spans="1:10" ht="55.2">
      <c r="A5" s="2" t="s">
        <v>69</v>
      </c>
      <c r="B5" s="2" t="s">
        <v>63</v>
      </c>
      <c r="C5" s="2" t="s">
        <v>70</v>
      </c>
      <c r="D5" s="2" t="s">
        <v>71</v>
      </c>
      <c r="E5" s="2" t="s">
        <v>72</v>
      </c>
      <c r="F5" s="2" t="s">
        <v>73</v>
      </c>
      <c r="G5" s="2" t="s">
        <v>54</v>
      </c>
      <c r="H5" s="2" t="s">
        <v>7</v>
      </c>
      <c r="I5" s="2" t="s">
        <v>74</v>
      </c>
      <c r="J5" s="2" t="s">
        <v>75</v>
      </c>
    </row>
    <row r="6" spans="1:10" ht="41.4">
      <c r="A6" s="2" t="s">
        <v>76</v>
      </c>
      <c r="B6" s="2" t="s">
        <v>63</v>
      </c>
      <c r="C6" s="2" t="s">
        <v>77</v>
      </c>
      <c r="D6" s="2" t="s">
        <v>78</v>
      </c>
      <c r="E6" s="2" t="s">
        <v>79</v>
      </c>
      <c r="F6" s="2" t="s">
        <v>80</v>
      </c>
      <c r="G6" s="2" t="s">
        <v>54</v>
      </c>
      <c r="H6" s="2" t="s">
        <v>7</v>
      </c>
      <c r="I6" s="2" t="s">
        <v>69</v>
      </c>
      <c r="J6" s="2" t="s">
        <v>81</v>
      </c>
    </row>
    <row r="7" spans="1:10" ht="27.6">
      <c r="A7" s="2" t="s">
        <v>82</v>
      </c>
      <c r="B7" s="2" t="s">
        <v>63</v>
      </c>
      <c r="C7" s="2" t="s">
        <v>83</v>
      </c>
      <c r="D7" s="2" t="s">
        <v>84</v>
      </c>
      <c r="E7" s="2" t="s">
        <v>85</v>
      </c>
      <c r="F7" s="2" t="s">
        <v>86</v>
      </c>
      <c r="G7" s="2" t="s">
        <v>54</v>
      </c>
      <c r="H7" s="2" t="s">
        <v>7</v>
      </c>
      <c r="I7" s="2" t="s">
        <v>69</v>
      </c>
      <c r="J7" s="2" t="s">
        <v>87</v>
      </c>
    </row>
    <row r="8" spans="1:10" ht="27.6">
      <c r="A8" s="2" t="s">
        <v>88</v>
      </c>
      <c r="B8" s="2" t="s">
        <v>63</v>
      </c>
      <c r="C8" s="2" t="s">
        <v>89</v>
      </c>
      <c r="D8" s="2" t="s">
        <v>90</v>
      </c>
      <c r="E8" s="2" t="s">
        <v>91</v>
      </c>
      <c r="F8" s="2" t="s">
        <v>92</v>
      </c>
      <c r="G8" s="2" t="s">
        <v>93</v>
      </c>
      <c r="H8" s="2" t="s">
        <v>7</v>
      </c>
      <c r="I8" s="2" t="s">
        <v>69</v>
      </c>
      <c r="J8" s="2" t="s">
        <v>94</v>
      </c>
    </row>
    <row r="9" spans="1:10" ht="27.6">
      <c r="A9" s="2" t="s">
        <v>95</v>
      </c>
      <c r="B9" s="2" t="s">
        <v>96</v>
      </c>
      <c r="C9" s="2" t="s">
        <v>97</v>
      </c>
      <c r="D9" s="2" t="s">
        <v>98</v>
      </c>
      <c r="E9" s="2" t="s">
        <v>99</v>
      </c>
      <c r="F9" s="2" t="s">
        <v>100</v>
      </c>
      <c r="G9" s="2" t="s">
        <v>54</v>
      </c>
      <c r="H9" s="2" t="s">
        <v>7</v>
      </c>
      <c r="I9" s="2" t="s">
        <v>101</v>
      </c>
      <c r="J9" s="2" t="s">
        <v>102</v>
      </c>
    </row>
    <row r="10" spans="1:10" ht="27.6">
      <c r="A10" s="2" t="s">
        <v>103</v>
      </c>
      <c r="B10" s="2" t="s">
        <v>104</v>
      </c>
      <c r="C10" s="2" t="s">
        <v>105</v>
      </c>
      <c r="D10" s="2" t="s">
        <v>106</v>
      </c>
      <c r="E10" s="2" t="s">
        <v>107</v>
      </c>
      <c r="F10" s="2" t="s">
        <v>108</v>
      </c>
      <c r="G10" s="2" t="s">
        <v>54</v>
      </c>
      <c r="H10" s="2" t="s">
        <v>7</v>
      </c>
      <c r="I10" s="2" t="s">
        <v>95</v>
      </c>
      <c r="J10" s="2" t="s">
        <v>109</v>
      </c>
    </row>
    <row r="11" spans="1:10" ht="41.4">
      <c r="A11" s="2" t="s">
        <v>110</v>
      </c>
      <c r="B11" s="2" t="s">
        <v>104</v>
      </c>
      <c r="C11" s="2" t="s">
        <v>111</v>
      </c>
      <c r="D11" s="2" t="s">
        <v>112</v>
      </c>
      <c r="E11" s="2" t="s">
        <v>113</v>
      </c>
      <c r="F11" s="2" t="s">
        <v>114</v>
      </c>
      <c r="G11" s="2" t="s">
        <v>54</v>
      </c>
      <c r="H11" s="2" t="s">
        <v>7</v>
      </c>
      <c r="I11" s="2" t="s">
        <v>103</v>
      </c>
      <c r="J11" s="2" t="s">
        <v>115</v>
      </c>
    </row>
    <row r="12" spans="1:10" ht="41.4">
      <c r="A12" s="2" t="s">
        <v>116</v>
      </c>
      <c r="B12" s="2" t="s">
        <v>117</v>
      </c>
      <c r="C12" s="2" t="s">
        <v>118</v>
      </c>
      <c r="D12" s="2" t="s">
        <v>119</v>
      </c>
      <c r="E12" s="2" t="s">
        <v>113</v>
      </c>
      <c r="F12" s="2" t="s">
        <v>120</v>
      </c>
      <c r="G12" s="2" t="s">
        <v>54</v>
      </c>
      <c r="H12" s="2" t="s">
        <v>7</v>
      </c>
      <c r="I12" s="2" t="s">
        <v>110</v>
      </c>
      <c r="J12" s="2" t="s">
        <v>121</v>
      </c>
    </row>
    <row r="13" spans="1:10" ht="55.2">
      <c r="A13" s="2" t="s">
        <v>122</v>
      </c>
      <c r="B13" s="2" t="s">
        <v>123</v>
      </c>
      <c r="C13" s="2" t="s">
        <v>124</v>
      </c>
      <c r="D13" s="2" t="s">
        <v>125</v>
      </c>
      <c r="E13" s="2" t="s">
        <v>72</v>
      </c>
      <c r="F13" s="2" t="s">
        <v>126</v>
      </c>
      <c r="G13" s="2" t="s">
        <v>54</v>
      </c>
      <c r="H13" s="2" t="s">
        <v>7</v>
      </c>
      <c r="I13" s="2" t="s">
        <v>116</v>
      </c>
      <c r="J13" s="2" t="s">
        <v>127</v>
      </c>
    </row>
    <row r="14" spans="1:10" ht="27.6">
      <c r="A14" s="2" t="s">
        <v>128</v>
      </c>
      <c r="B14" s="2" t="s">
        <v>123</v>
      </c>
      <c r="C14" s="2" t="s">
        <v>129</v>
      </c>
      <c r="D14" s="2" t="s">
        <v>130</v>
      </c>
      <c r="E14" s="2" t="s">
        <v>79</v>
      </c>
      <c r="F14" s="2" t="s">
        <v>126</v>
      </c>
      <c r="G14" s="2" t="s">
        <v>54</v>
      </c>
      <c r="H14" s="2" t="s">
        <v>7</v>
      </c>
      <c r="I14" s="2" t="s">
        <v>131</v>
      </c>
      <c r="J14" s="2" t="s">
        <v>132</v>
      </c>
    </row>
    <row r="15" spans="1:10" ht="27.6">
      <c r="A15" s="2" t="s">
        <v>133</v>
      </c>
      <c r="B15" s="2" t="s">
        <v>123</v>
      </c>
      <c r="C15" s="2" t="s">
        <v>134</v>
      </c>
      <c r="D15" s="2" t="s">
        <v>135</v>
      </c>
      <c r="E15" s="2" t="s">
        <v>91</v>
      </c>
      <c r="F15" s="2" t="s">
        <v>126</v>
      </c>
      <c r="G15" s="2" t="s">
        <v>93</v>
      </c>
      <c r="H15" s="2" t="s">
        <v>7</v>
      </c>
      <c r="I15" s="2" t="s">
        <v>136</v>
      </c>
      <c r="J15" s="2" t="s">
        <v>137</v>
      </c>
    </row>
    <row r="16" spans="1:10" ht="27.6">
      <c r="A16" s="2" t="s">
        <v>138</v>
      </c>
      <c r="B16" s="2" t="s">
        <v>139</v>
      </c>
      <c r="C16" s="2" t="s">
        <v>140</v>
      </c>
      <c r="D16" s="2" t="s">
        <v>141</v>
      </c>
      <c r="E16" s="2" t="s">
        <v>99</v>
      </c>
      <c r="F16" s="2" t="s">
        <v>142</v>
      </c>
      <c r="G16" s="2" t="s">
        <v>93</v>
      </c>
      <c r="H16" s="2" t="s">
        <v>7</v>
      </c>
      <c r="I16" s="2" t="s">
        <v>95</v>
      </c>
      <c r="J16" s="2" t="s">
        <v>143</v>
      </c>
    </row>
    <row r="17" spans="1:10" ht="27.6">
      <c r="A17" s="2" t="s">
        <v>144</v>
      </c>
      <c r="B17" s="2" t="s">
        <v>145</v>
      </c>
      <c r="C17" s="2" t="s">
        <v>146</v>
      </c>
      <c r="D17" s="2" t="s">
        <v>147</v>
      </c>
      <c r="E17" s="2" t="s">
        <v>148</v>
      </c>
      <c r="F17" s="2" t="s">
        <v>149</v>
      </c>
      <c r="G17" s="2" t="s">
        <v>150</v>
      </c>
      <c r="H17" s="2" t="s">
        <v>7</v>
      </c>
      <c r="I17" s="2" t="s">
        <v>103</v>
      </c>
      <c r="J17" s="2" t="s">
        <v>151</v>
      </c>
    </row>
  </sheetData>
  <conditionalFormatting sqref="G2:G500">
    <cfRule type="expression" dxfId="34" priority="1">
      <formula>G2="Critical"</formula>
    </cfRule>
    <cfRule type="expression" dxfId="33" priority="2">
      <formula>G2="High"</formula>
    </cfRule>
  </conditionalFormatting>
  <conditionalFormatting sqref="H2:H500">
    <cfRule type="expression" dxfId="32" priority="3">
      <formula>H2="Done"</formula>
    </cfRule>
    <cfRule type="expression" dxfId="31" priority="4">
      <formula>H2="Blocked"</formula>
    </cfRule>
    <cfRule type="expression" dxfId="30" priority="5">
      <formula>H2="In Progress"</formula>
    </cfRule>
  </conditionalFormatting>
  <dataValidations count="2">
    <dataValidation type="list" sqref="G2:G500" xr:uid="{00000000-0002-0000-0200-000000000000}">
      <formula1>"Critical,High,Medium,Low"</formula1>
    </dataValidation>
    <dataValidation type="list" sqref="H2:H500" xr:uid="{00000000-0002-0000-0200-000001000000}">
      <formula1>"Not Started,In Progress,Blocked,Done"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tabSelected="1" workbookViewId="0">
      <selection activeCell="F1" sqref="F1:F1048576"/>
    </sheetView>
  </sheetViews>
  <sheetFormatPr defaultRowHeight="13.8"/>
  <cols>
    <col min="1" max="1" width="10" customWidth="1"/>
    <col min="2" max="2" width="18" customWidth="1"/>
    <col min="3" max="3" width="32" customWidth="1"/>
    <col min="4" max="4" width="45" customWidth="1"/>
    <col min="5" max="5" width="18" customWidth="1"/>
    <col min="6" max="6" width="12" customWidth="1"/>
    <col min="7" max="7" width="14" customWidth="1"/>
    <col min="8" max="8" width="24" customWidth="1"/>
    <col min="9" max="9" width="45" customWidth="1"/>
  </cols>
  <sheetData>
    <row r="1" spans="1:9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44</v>
      </c>
      <c r="G1" s="1" t="s">
        <v>45</v>
      </c>
      <c r="H1" s="1" t="s">
        <v>46</v>
      </c>
      <c r="I1" s="1" t="s">
        <v>47</v>
      </c>
    </row>
    <row r="2" spans="1:9" ht="27.6">
      <c r="A2" s="2" t="s">
        <v>289</v>
      </c>
      <c r="B2" s="2" t="s">
        <v>290</v>
      </c>
      <c r="C2" s="2" t="s">
        <v>291</v>
      </c>
      <c r="D2" s="2" t="s">
        <v>292</v>
      </c>
      <c r="E2" s="2" t="s">
        <v>293</v>
      </c>
      <c r="F2" s="2" t="s">
        <v>54</v>
      </c>
      <c r="G2" s="2" t="s">
        <v>4</v>
      </c>
      <c r="H2" s="2" t="s">
        <v>103</v>
      </c>
      <c r="I2" s="2" t="s">
        <v>295</v>
      </c>
    </row>
    <row r="3" spans="1:9" ht="27.6">
      <c r="A3" s="2" t="s">
        <v>296</v>
      </c>
      <c r="B3" s="2" t="s">
        <v>297</v>
      </c>
      <c r="C3" s="2" t="s">
        <v>298</v>
      </c>
      <c r="D3" s="2" t="s">
        <v>299</v>
      </c>
      <c r="E3" s="2" t="s">
        <v>300</v>
      </c>
      <c r="F3" s="2" t="s">
        <v>93</v>
      </c>
      <c r="G3" s="2" t="s">
        <v>4</v>
      </c>
      <c r="H3" s="2" t="s">
        <v>116</v>
      </c>
      <c r="I3" s="2" t="s">
        <v>302</v>
      </c>
    </row>
    <row r="4" spans="1:9" ht="27.6">
      <c r="A4" s="2" t="s">
        <v>303</v>
      </c>
      <c r="B4" s="2" t="s">
        <v>297</v>
      </c>
      <c r="C4" s="2" t="s">
        <v>304</v>
      </c>
      <c r="D4" s="2" t="s">
        <v>305</v>
      </c>
      <c r="E4" s="2" t="s">
        <v>300</v>
      </c>
      <c r="F4" s="2" t="s">
        <v>54</v>
      </c>
      <c r="G4" s="2" t="s">
        <v>4</v>
      </c>
      <c r="H4" s="2" t="s">
        <v>307</v>
      </c>
      <c r="I4" s="2" t="s">
        <v>308</v>
      </c>
    </row>
    <row r="5" spans="1:9" ht="27.6">
      <c r="A5" s="2" t="s">
        <v>309</v>
      </c>
      <c r="B5" s="2" t="s">
        <v>297</v>
      </c>
      <c r="C5" s="2" t="s">
        <v>310</v>
      </c>
      <c r="D5" s="2" t="s">
        <v>311</v>
      </c>
      <c r="E5" s="2" t="s">
        <v>300</v>
      </c>
      <c r="F5" s="2" t="s">
        <v>93</v>
      </c>
      <c r="G5" s="2" t="s">
        <v>4</v>
      </c>
      <c r="H5" s="2" t="s">
        <v>116</v>
      </c>
      <c r="I5" s="2" t="s">
        <v>313</v>
      </c>
    </row>
    <row r="6" spans="1:9">
      <c r="A6" s="2" t="s">
        <v>314</v>
      </c>
      <c r="B6" s="2" t="s">
        <v>297</v>
      </c>
      <c r="C6" s="2" t="s">
        <v>315</v>
      </c>
      <c r="D6" s="2" t="s">
        <v>316</v>
      </c>
      <c r="E6" s="2" t="s">
        <v>317</v>
      </c>
      <c r="F6" s="2" t="s">
        <v>54</v>
      </c>
      <c r="G6" s="2" t="s">
        <v>4</v>
      </c>
      <c r="H6" s="2" t="s">
        <v>128</v>
      </c>
      <c r="I6" s="2" t="s">
        <v>319</v>
      </c>
    </row>
    <row r="7" spans="1:9">
      <c r="A7" s="2" t="s">
        <v>320</v>
      </c>
      <c r="B7" s="2" t="s">
        <v>321</v>
      </c>
      <c r="C7" s="2" t="s">
        <v>322</v>
      </c>
      <c r="D7" s="2" t="s">
        <v>323</v>
      </c>
      <c r="E7" s="2" t="s">
        <v>300</v>
      </c>
      <c r="F7" s="2" t="s">
        <v>54</v>
      </c>
      <c r="G7" s="2" t="s">
        <v>4</v>
      </c>
      <c r="H7" s="2" t="s">
        <v>325</v>
      </c>
      <c r="I7" s="2" t="s">
        <v>326</v>
      </c>
    </row>
    <row r="8" spans="1:9" ht="27.6">
      <c r="A8" s="2" t="s">
        <v>327</v>
      </c>
      <c r="B8" s="2" t="s">
        <v>321</v>
      </c>
      <c r="C8" s="2" t="s">
        <v>328</v>
      </c>
      <c r="D8" s="2" t="s">
        <v>329</v>
      </c>
      <c r="E8" s="2" t="s">
        <v>300</v>
      </c>
      <c r="F8" s="2" t="s">
        <v>54</v>
      </c>
      <c r="G8" s="2" t="s">
        <v>4</v>
      </c>
      <c r="H8" s="2" t="s">
        <v>331</v>
      </c>
      <c r="I8" s="2" t="s">
        <v>332</v>
      </c>
    </row>
    <row r="9" spans="1:9">
      <c r="A9" s="2" t="s">
        <v>333</v>
      </c>
      <c r="B9" s="2" t="s">
        <v>334</v>
      </c>
      <c r="C9" s="2" t="s">
        <v>335</v>
      </c>
      <c r="D9" s="2" t="s">
        <v>336</v>
      </c>
      <c r="E9" s="2" t="s">
        <v>300</v>
      </c>
      <c r="F9" s="2" t="s">
        <v>93</v>
      </c>
      <c r="G9" s="2" t="s">
        <v>4</v>
      </c>
      <c r="H9" s="2" t="s">
        <v>116</v>
      </c>
      <c r="I9" s="2" t="s">
        <v>338</v>
      </c>
    </row>
    <row r="10" spans="1:9" ht="27.6">
      <c r="A10" s="2" t="s">
        <v>339</v>
      </c>
      <c r="B10" s="2" t="s">
        <v>334</v>
      </c>
      <c r="C10" s="2" t="s">
        <v>340</v>
      </c>
      <c r="D10" s="2" t="s">
        <v>341</v>
      </c>
      <c r="E10" s="2" t="s">
        <v>342</v>
      </c>
      <c r="F10" s="2" t="s">
        <v>54</v>
      </c>
      <c r="G10" s="2" t="s">
        <v>4</v>
      </c>
      <c r="H10" s="2" t="s">
        <v>331</v>
      </c>
      <c r="I10" s="2" t="s">
        <v>344</v>
      </c>
    </row>
    <row r="11" spans="1:9" ht="27.6">
      <c r="A11" s="2" t="s">
        <v>345</v>
      </c>
      <c r="B11" s="2" t="s">
        <v>139</v>
      </c>
      <c r="C11" s="2" t="s">
        <v>346</v>
      </c>
      <c r="D11" s="2" t="s">
        <v>347</v>
      </c>
      <c r="E11" s="2" t="s">
        <v>348</v>
      </c>
      <c r="F11" s="2" t="s">
        <v>93</v>
      </c>
      <c r="G11" s="2" t="s">
        <v>4</v>
      </c>
      <c r="H11" s="2" t="s">
        <v>350</v>
      </c>
      <c r="I11" s="2" t="s">
        <v>351</v>
      </c>
    </row>
    <row r="12" spans="1:9" ht="27.6">
      <c r="A12" s="2" t="s">
        <v>352</v>
      </c>
      <c r="B12" s="2" t="s">
        <v>139</v>
      </c>
      <c r="C12" s="2" t="s">
        <v>353</v>
      </c>
      <c r="D12" s="2" t="s">
        <v>354</v>
      </c>
      <c r="E12" s="2" t="s">
        <v>355</v>
      </c>
      <c r="F12" s="2" t="s">
        <v>93</v>
      </c>
      <c r="G12" s="2" t="s">
        <v>4</v>
      </c>
      <c r="H12" s="2" t="s">
        <v>62</v>
      </c>
      <c r="I12" s="2" t="s">
        <v>357</v>
      </c>
    </row>
    <row r="13" spans="1:9" ht="27.6">
      <c r="A13" s="2" t="s">
        <v>358</v>
      </c>
      <c r="B13" s="2" t="s">
        <v>139</v>
      </c>
      <c r="C13" s="2" t="s">
        <v>359</v>
      </c>
      <c r="D13" s="2" t="s">
        <v>360</v>
      </c>
      <c r="E13" s="2" t="s">
        <v>361</v>
      </c>
      <c r="F13" s="2" t="s">
        <v>150</v>
      </c>
      <c r="G13" s="2" t="s">
        <v>4</v>
      </c>
      <c r="H13" s="2" t="s">
        <v>103</v>
      </c>
      <c r="I13" s="2" t="s">
        <v>363</v>
      </c>
    </row>
    <row r="14" spans="1:9" ht="27.6">
      <c r="A14" s="2" t="s">
        <v>364</v>
      </c>
      <c r="B14" s="2" t="s">
        <v>365</v>
      </c>
      <c r="C14" s="2" t="s">
        <v>366</v>
      </c>
      <c r="D14" s="2" t="s">
        <v>367</v>
      </c>
      <c r="E14" s="2" t="s">
        <v>368</v>
      </c>
      <c r="F14" s="2" t="s">
        <v>150</v>
      </c>
      <c r="G14" s="2" t="s">
        <v>4</v>
      </c>
      <c r="H14" s="2" t="s">
        <v>82</v>
      </c>
      <c r="I14" s="2" t="s">
        <v>370</v>
      </c>
    </row>
    <row r="15" spans="1:9" ht="27.6">
      <c r="A15" s="2" t="s">
        <v>371</v>
      </c>
      <c r="B15" s="2" t="s">
        <v>365</v>
      </c>
      <c r="C15" s="2" t="s">
        <v>372</v>
      </c>
      <c r="D15" s="2" t="s">
        <v>373</v>
      </c>
      <c r="E15" s="2" t="s">
        <v>374</v>
      </c>
      <c r="F15" s="2" t="s">
        <v>150</v>
      </c>
      <c r="G15" s="2" t="s">
        <v>4</v>
      </c>
      <c r="H15" s="2" t="s">
        <v>133</v>
      </c>
      <c r="I15" s="2" t="s">
        <v>376</v>
      </c>
    </row>
  </sheetData>
  <conditionalFormatting sqref="F2:F500">
    <cfRule type="expression" dxfId="29" priority="1">
      <formula>F2="Critical"</formula>
    </cfRule>
    <cfRule type="expression" dxfId="28" priority="2">
      <formula>F2="High"</formula>
    </cfRule>
  </conditionalFormatting>
  <conditionalFormatting sqref="G2:G500">
    <cfRule type="expression" dxfId="27" priority="3">
      <formula>G2="Done"</formula>
    </cfRule>
    <cfRule type="expression" dxfId="26" priority="4">
      <formula>G2="Blocked"</formula>
    </cfRule>
    <cfRule type="expression" dxfId="25" priority="5">
      <formula>G2="In Progress"</formula>
    </cfRule>
  </conditionalFormatting>
  <dataValidations count="2">
    <dataValidation type="list" sqref="F2:F500" xr:uid="{00000000-0002-0000-0300-000000000000}">
      <formula1>"Critical,High,Medium,Low"</formula1>
    </dataValidation>
    <dataValidation type="list" sqref="G2:G500" xr:uid="{00000000-0002-0000-0300-000001000000}">
      <formula1>"Not Started,In Progress,Blocked,Done"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workbookViewId="0"/>
  </sheetViews>
  <sheetFormatPr defaultRowHeight="13.8"/>
  <cols>
    <col min="1" max="1" width="10" customWidth="1"/>
    <col min="2" max="2" width="18" customWidth="1"/>
    <col min="3" max="3" width="32" customWidth="1"/>
    <col min="4" max="4" width="45" customWidth="1"/>
    <col min="5" max="5" width="18" customWidth="1"/>
    <col min="6" max="6" width="30" customWidth="1"/>
    <col min="7" max="7" width="12" customWidth="1"/>
    <col min="8" max="8" width="14" customWidth="1"/>
    <col min="9" max="9" width="24" customWidth="1"/>
    <col min="10" max="10" width="45" customWidth="1"/>
  </cols>
  <sheetData>
    <row r="1" spans="1:10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 ht="41.4">
      <c r="A2" s="2" t="s">
        <v>152</v>
      </c>
      <c r="B2" s="2" t="s">
        <v>153</v>
      </c>
      <c r="C2" s="2" t="s">
        <v>154</v>
      </c>
      <c r="D2" s="2" t="s">
        <v>155</v>
      </c>
      <c r="E2" s="2" t="s">
        <v>156</v>
      </c>
      <c r="F2" s="2" t="s">
        <v>157</v>
      </c>
      <c r="G2" s="2" t="s">
        <v>54</v>
      </c>
      <c r="H2" s="2" t="s">
        <v>4</v>
      </c>
      <c r="I2" s="2" t="s">
        <v>56</v>
      </c>
      <c r="J2" s="2" t="s">
        <v>158</v>
      </c>
    </row>
    <row r="3" spans="1:10" ht="27.6">
      <c r="A3" s="2" t="s">
        <v>159</v>
      </c>
      <c r="B3" s="2" t="s">
        <v>153</v>
      </c>
      <c r="C3" s="2" t="s">
        <v>160</v>
      </c>
      <c r="D3" s="2" t="s">
        <v>161</v>
      </c>
      <c r="E3" s="2" t="s">
        <v>156</v>
      </c>
      <c r="F3" s="2" t="s">
        <v>126</v>
      </c>
      <c r="G3" s="2" t="s">
        <v>54</v>
      </c>
      <c r="H3" s="2" t="s">
        <v>4</v>
      </c>
      <c r="I3" s="2" t="s">
        <v>152</v>
      </c>
      <c r="J3" s="2" t="s">
        <v>162</v>
      </c>
    </row>
    <row r="4" spans="1:10" ht="27.6">
      <c r="A4" s="2" t="s">
        <v>163</v>
      </c>
      <c r="B4" s="2" t="s">
        <v>164</v>
      </c>
      <c r="C4" s="2" t="s">
        <v>165</v>
      </c>
      <c r="D4" s="2" t="s">
        <v>166</v>
      </c>
      <c r="E4" s="2" t="s">
        <v>167</v>
      </c>
      <c r="F4" s="2" t="s">
        <v>168</v>
      </c>
      <c r="G4" s="2" t="s">
        <v>54</v>
      </c>
      <c r="H4" s="2" t="s">
        <v>4</v>
      </c>
      <c r="I4" s="2" t="s">
        <v>169</v>
      </c>
      <c r="J4" s="2" t="s">
        <v>170</v>
      </c>
    </row>
    <row r="5" spans="1:10" ht="27.6">
      <c r="A5" s="2" t="s">
        <v>171</v>
      </c>
      <c r="B5" s="2" t="s">
        <v>172</v>
      </c>
      <c r="C5" s="2" t="s">
        <v>173</v>
      </c>
      <c r="D5" s="2" t="s">
        <v>174</v>
      </c>
      <c r="E5" s="2" t="s">
        <v>175</v>
      </c>
      <c r="F5" s="2" t="s">
        <v>176</v>
      </c>
      <c r="G5" s="2" t="s">
        <v>54</v>
      </c>
      <c r="H5" s="2" t="s">
        <v>4</v>
      </c>
      <c r="I5" s="2" t="s">
        <v>122</v>
      </c>
      <c r="J5" s="2" t="s">
        <v>177</v>
      </c>
    </row>
    <row r="6" spans="1:10" ht="41.4">
      <c r="A6" s="2" t="s">
        <v>178</v>
      </c>
      <c r="B6" s="2" t="s">
        <v>179</v>
      </c>
      <c r="C6" s="2" t="s">
        <v>180</v>
      </c>
      <c r="D6" s="2" t="s">
        <v>181</v>
      </c>
      <c r="E6" s="2" t="s">
        <v>113</v>
      </c>
      <c r="F6" s="2" t="s">
        <v>182</v>
      </c>
      <c r="G6" s="2" t="s">
        <v>54</v>
      </c>
      <c r="H6" s="2" t="s">
        <v>4</v>
      </c>
      <c r="I6" s="2" t="s">
        <v>183</v>
      </c>
      <c r="J6" s="2" t="s">
        <v>184</v>
      </c>
    </row>
    <row r="7" spans="1:10" ht="27.6">
      <c r="A7" s="2" t="s">
        <v>185</v>
      </c>
      <c r="B7" s="2" t="s">
        <v>186</v>
      </c>
      <c r="C7" s="2" t="s">
        <v>187</v>
      </c>
      <c r="D7" s="2" t="s">
        <v>188</v>
      </c>
      <c r="E7" s="2" t="s">
        <v>72</v>
      </c>
      <c r="F7" s="2" t="s">
        <v>189</v>
      </c>
      <c r="G7" s="2" t="s">
        <v>54</v>
      </c>
      <c r="H7" s="2" t="s">
        <v>4</v>
      </c>
      <c r="I7" s="2" t="s">
        <v>171</v>
      </c>
      <c r="J7" s="2" t="s">
        <v>190</v>
      </c>
    </row>
    <row r="8" spans="1:10" ht="27.6">
      <c r="A8" s="2" t="s">
        <v>191</v>
      </c>
      <c r="B8" s="2" t="s">
        <v>192</v>
      </c>
      <c r="C8" s="2" t="s">
        <v>193</v>
      </c>
      <c r="D8" s="2" t="s">
        <v>194</v>
      </c>
      <c r="E8" s="2" t="s">
        <v>113</v>
      </c>
      <c r="F8" s="2" t="s">
        <v>195</v>
      </c>
      <c r="G8" s="2" t="s">
        <v>93</v>
      </c>
      <c r="H8" s="2" t="s">
        <v>4</v>
      </c>
      <c r="I8" s="2" t="s">
        <v>196</v>
      </c>
      <c r="J8" s="2" t="s">
        <v>197</v>
      </c>
    </row>
    <row r="9" spans="1:10" ht="27.6">
      <c r="A9" s="2" t="s">
        <v>198</v>
      </c>
      <c r="B9" s="2" t="s">
        <v>199</v>
      </c>
      <c r="C9" s="2" t="s">
        <v>200</v>
      </c>
      <c r="D9" s="2" t="s">
        <v>201</v>
      </c>
      <c r="E9" s="2" t="s">
        <v>113</v>
      </c>
      <c r="F9" s="2" t="s">
        <v>202</v>
      </c>
      <c r="G9" s="2" t="s">
        <v>93</v>
      </c>
      <c r="H9" s="2" t="s">
        <v>4</v>
      </c>
      <c r="I9" s="2" t="s">
        <v>191</v>
      </c>
      <c r="J9" s="2" t="s">
        <v>203</v>
      </c>
    </row>
    <row r="10" spans="1:10" ht="27.6">
      <c r="A10" s="2" t="s">
        <v>204</v>
      </c>
      <c r="B10" s="2" t="s">
        <v>205</v>
      </c>
      <c r="C10" s="2" t="s">
        <v>206</v>
      </c>
      <c r="D10" s="2" t="s">
        <v>207</v>
      </c>
      <c r="E10" s="2" t="s">
        <v>156</v>
      </c>
      <c r="F10" s="2" t="s">
        <v>208</v>
      </c>
      <c r="G10" s="2" t="s">
        <v>93</v>
      </c>
      <c r="H10" s="2" t="s">
        <v>4</v>
      </c>
      <c r="I10" s="2" t="s">
        <v>163</v>
      </c>
      <c r="J10" s="2" t="s">
        <v>209</v>
      </c>
    </row>
    <row r="11" spans="1:10" ht="27.6">
      <c r="A11" s="2" t="s">
        <v>210</v>
      </c>
      <c r="B11" s="2" t="s">
        <v>211</v>
      </c>
      <c r="C11" s="2" t="s">
        <v>212</v>
      </c>
      <c r="D11" s="2" t="s">
        <v>213</v>
      </c>
      <c r="E11" s="2" t="s">
        <v>72</v>
      </c>
      <c r="F11" s="2" t="s">
        <v>214</v>
      </c>
      <c r="G11" s="2" t="s">
        <v>54</v>
      </c>
      <c r="H11" s="2" t="s">
        <v>4</v>
      </c>
      <c r="I11" s="2" t="s">
        <v>215</v>
      </c>
      <c r="J11" s="2" t="s">
        <v>216</v>
      </c>
    </row>
  </sheetData>
  <conditionalFormatting sqref="G2:G500">
    <cfRule type="expression" dxfId="24" priority="1">
      <formula>G2="Critical"</formula>
    </cfRule>
    <cfRule type="expression" dxfId="23" priority="2">
      <formula>G2="High"</formula>
    </cfRule>
  </conditionalFormatting>
  <conditionalFormatting sqref="H2:H500">
    <cfRule type="expression" dxfId="22" priority="3">
      <formula>H2="Done"</formula>
    </cfRule>
    <cfRule type="expression" dxfId="21" priority="4">
      <formula>H2="Blocked"</formula>
    </cfRule>
    <cfRule type="expression" dxfId="20" priority="5">
      <formula>H2="In Progress"</formula>
    </cfRule>
  </conditionalFormatting>
  <dataValidations count="2">
    <dataValidation type="list" sqref="G2:G500" xr:uid="{00000000-0002-0000-0400-000000000000}">
      <formula1>"Critical,High,Medium,Low"</formula1>
    </dataValidation>
    <dataValidation type="list" sqref="H2:H500" xr:uid="{00000000-0002-0000-0400-000001000000}">
      <formula1>"Not Started,In Progress,Blocked,Done"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workbookViewId="0"/>
  </sheetViews>
  <sheetFormatPr defaultRowHeight="13.8"/>
  <cols>
    <col min="1" max="1" width="10" customWidth="1"/>
    <col min="2" max="2" width="18" customWidth="1"/>
    <col min="3" max="3" width="32" customWidth="1"/>
    <col min="4" max="4" width="45" customWidth="1"/>
    <col min="5" max="5" width="18" customWidth="1"/>
    <col min="6" max="6" width="30" customWidth="1"/>
    <col min="7" max="7" width="12" customWidth="1"/>
    <col min="8" max="8" width="14" customWidth="1"/>
    <col min="9" max="9" width="24" customWidth="1"/>
    <col min="10" max="10" width="45" customWidth="1"/>
  </cols>
  <sheetData>
    <row r="1" spans="1:10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 ht="27.6">
      <c r="A2" s="2" t="s">
        <v>217</v>
      </c>
      <c r="B2" s="2" t="s">
        <v>218</v>
      </c>
      <c r="C2" s="2" t="s">
        <v>219</v>
      </c>
      <c r="D2" s="2" t="s">
        <v>220</v>
      </c>
      <c r="E2" s="2" t="s">
        <v>221</v>
      </c>
      <c r="F2" s="2" t="s">
        <v>222</v>
      </c>
      <c r="G2" s="2" t="s">
        <v>54</v>
      </c>
      <c r="H2" s="2" t="s">
        <v>4</v>
      </c>
      <c r="I2" s="2" t="s">
        <v>103</v>
      </c>
      <c r="J2" s="2" t="s">
        <v>223</v>
      </c>
    </row>
    <row r="3" spans="1:10" ht="27.6">
      <c r="A3" s="2" t="s">
        <v>224</v>
      </c>
      <c r="B3" s="2" t="s">
        <v>225</v>
      </c>
      <c r="C3" s="2" t="s">
        <v>226</v>
      </c>
      <c r="D3" s="2" t="s">
        <v>227</v>
      </c>
      <c r="E3" s="2" t="s">
        <v>228</v>
      </c>
      <c r="F3" s="2" t="s">
        <v>229</v>
      </c>
      <c r="G3" s="2" t="s">
        <v>54</v>
      </c>
      <c r="H3" s="2" t="s">
        <v>4</v>
      </c>
      <c r="I3" s="2" t="s">
        <v>110</v>
      </c>
      <c r="J3" s="2" t="s">
        <v>230</v>
      </c>
    </row>
    <row r="4" spans="1:10" ht="27.6">
      <c r="A4" s="2" t="s">
        <v>231</v>
      </c>
      <c r="B4" s="2" t="s">
        <v>232</v>
      </c>
      <c r="C4" s="2" t="s">
        <v>233</v>
      </c>
      <c r="D4" s="2" t="s">
        <v>234</v>
      </c>
      <c r="E4" s="2" t="s">
        <v>113</v>
      </c>
      <c r="F4" s="2" t="s">
        <v>235</v>
      </c>
      <c r="G4" s="2" t="s">
        <v>54</v>
      </c>
      <c r="H4" s="2" t="s">
        <v>4</v>
      </c>
      <c r="I4" s="2" t="s">
        <v>116</v>
      </c>
      <c r="J4" s="2" t="s">
        <v>236</v>
      </c>
    </row>
    <row r="5" spans="1:10" ht="27.6">
      <c r="A5" s="2" t="s">
        <v>237</v>
      </c>
      <c r="B5" s="2" t="s">
        <v>238</v>
      </c>
      <c r="C5" s="2" t="s">
        <v>239</v>
      </c>
      <c r="D5" s="2" t="s">
        <v>240</v>
      </c>
      <c r="E5" s="2" t="s">
        <v>79</v>
      </c>
      <c r="F5" s="2" t="s">
        <v>241</v>
      </c>
      <c r="G5" s="2" t="s">
        <v>54</v>
      </c>
      <c r="H5" s="2" t="s">
        <v>4</v>
      </c>
      <c r="I5" s="2" t="s">
        <v>128</v>
      </c>
      <c r="J5" s="2" t="s">
        <v>242</v>
      </c>
    </row>
    <row r="6" spans="1:10" ht="41.4">
      <c r="A6" s="2" t="s">
        <v>243</v>
      </c>
      <c r="B6" s="2" t="s">
        <v>238</v>
      </c>
      <c r="C6" s="2" t="s">
        <v>244</v>
      </c>
      <c r="D6" s="2" t="s">
        <v>245</v>
      </c>
      <c r="E6" s="2" t="s">
        <v>79</v>
      </c>
      <c r="F6" s="2" t="s">
        <v>246</v>
      </c>
      <c r="G6" s="2" t="s">
        <v>54</v>
      </c>
      <c r="H6" s="2" t="s">
        <v>4</v>
      </c>
      <c r="I6" s="2" t="s">
        <v>128</v>
      </c>
      <c r="J6" s="2" t="s">
        <v>247</v>
      </c>
    </row>
    <row r="7" spans="1:10">
      <c r="A7" s="2" t="s">
        <v>248</v>
      </c>
      <c r="B7" s="2" t="s">
        <v>249</v>
      </c>
      <c r="C7" s="2" t="s">
        <v>250</v>
      </c>
      <c r="D7" s="2" t="s">
        <v>251</v>
      </c>
      <c r="E7" s="2" t="s">
        <v>252</v>
      </c>
      <c r="F7" s="2" t="s">
        <v>253</v>
      </c>
      <c r="G7" s="2" t="s">
        <v>54</v>
      </c>
      <c r="H7" s="2" t="s">
        <v>4</v>
      </c>
      <c r="I7" s="2" t="s">
        <v>254</v>
      </c>
      <c r="J7" s="2" t="s">
        <v>255</v>
      </c>
    </row>
    <row r="8" spans="1:10" ht="41.4">
      <c r="A8" s="2" t="s">
        <v>256</v>
      </c>
      <c r="B8" s="2" t="s">
        <v>257</v>
      </c>
      <c r="C8" s="2" t="s">
        <v>258</v>
      </c>
      <c r="D8" s="2" t="s">
        <v>259</v>
      </c>
      <c r="E8" s="2" t="s">
        <v>260</v>
      </c>
      <c r="F8" s="2" t="s">
        <v>261</v>
      </c>
      <c r="G8" s="2" t="s">
        <v>54</v>
      </c>
      <c r="H8" s="2" t="s">
        <v>4</v>
      </c>
      <c r="I8" s="2" t="s">
        <v>122</v>
      </c>
      <c r="J8" s="2" t="s">
        <v>262</v>
      </c>
    </row>
    <row r="9" spans="1:10" ht="27.6">
      <c r="A9" s="2" t="s">
        <v>263</v>
      </c>
      <c r="B9" s="2" t="s">
        <v>139</v>
      </c>
      <c r="C9" s="2" t="s">
        <v>264</v>
      </c>
      <c r="D9" s="2" t="s">
        <v>265</v>
      </c>
      <c r="E9" s="2" t="s">
        <v>266</v>
      </c>
      <c r="F9" s="2" t="s">
        <v>142</v>
      </c>
      <c r="G9" s="2" t="s">
        <v>93</v>
      </c>
      <c r="H9" s="2" t="s">
        <v>4</v>
      </c>
      <c r="I9" s="2" t="s">
        <v>138</v>
      </c>
      <c r="J9" s="2" t="s">
        <v>267</v>
      </c>
    </row>
    <row r="10" spans="1:10" ht="41.4">
      <c r="A10" s="2" t="s">
        <v>268</v>
      </c>
      <c r="B10" s="2" t="s">
        <v>269</v>
      </c>
      <c r="C10" s="2" t="s">
        <v>270</v>
      </c>
      <c r="D10" s="2" t="s">
        <v>271</v>
      </c>
      <c r="E10" s="2" t="s">
        <v>272</v>
      </c>
      <c r="F10" s="2" t="s">
        <v>273</v>
      </c>
      <c r="G10" s="2" t="s">
        <v>54</v>
      </c>
      <c r="H10" s="2" t="s">
        <v>4</v>
      </c>
      <c r="I10" s="2" t="s">
        <v>15</v>
      </c>
      <c r="J10" s="2" t="s">
        <v>274</v>
      </c>
    </row>
    <row r="11" spans="1:10" ht="27.6">
      <c r="A11" s="2" t="s">
        <v>275</v>
      </c>
      <c r="B11" s="2" t="s">
        <v>276</v>
      </c>
      <c r="C11" s="2" t="s">
        <v>277</v>
      </c>
      <c r="D11" s="2" t="s">
        <v>278</v>
      </c>
      <c r="E11" s="2" t="s">
        <v>59</v>
      </c>
      <c r="F11" s="2" t="s">
        <v>279</v>
      </c>
      <c r="G11" s="2" t="s">
        <v>150</v>
      </c>
      <c r="H11" s="2" t="s">
        <v>4</v>
      </c>
      <c r="I11" s="2" t="s">
        <v>224</v>
      </c>
      <c r="J11" s="2" t="s">
        <v>280</v>
      </c>
    </row>
    <row r="12" spans="1:10" ht="27.6">
      <c r="A12" s="2" t="s">
        <v>281</v>
      </c>
      <c r="B12" s="2" t="s">
        <v>282</v>
      </c>
      <c r="C12" s="2" t="s">
        <v>283</v>
      </c>
      <c r="D12" s="2" t="s">
        <v>284</v>
      </c>
      <c r="E12" s="2" t="s">
        <v>285</v>
      </c>
      <c r="F12" s="2" t="s">
        <v>286</v>
      </c>
      <c r="G12" s="2" t="s">
        <v>54</v>
      </c>
      <c r="H12" s="2" t="s">
        <v>4</v>
      </c>
      <c r="I12" s="2" t="s">
        <v>287</v>
      </c>
      <c r="J12" s="2" t="s">
        <v>288</v>
      </c>
    </row>
  </sheetData>
  <conditionalFormatting sqref="G2:G500">
    <cfRule type="expression" dxfId="19" priority="1">
      <formula>G2="Critical"</formula>
    </cfRule>
    <cfRule type="expression" dxfId="18" priority="2">
      <formula>G2="High"</formula>
    </cfRule>
  </conditionalFormatting>
  <conditionalFormatting sqref="H2:H500">
    <cfRule type="expression" dxfId="17" priority="3">
      <formula>H2="Done"</formula>
    </cfRule>
    <cfRule type="expression" dxfId="16" priority="4">
      <formula>H2="Blocked"</formula>
    </cfRule>
    <cfRule type="expression" dxfId="15" priority="5">
      <formula>H2="In Progress"</formula>
    </cfRule>
  </conditionalFormatting>
  <dataValidations count="2">
    <dataValidation type="list" sqref="G2:G500" xr:uid="{00000000-0002-0000-0500-000000000000}">
      <formula1>"Critical,High,Medium,Low"</formula1>
    </dataValidation>
    <dataValidation type="list" sqref="H2:H500" xr:uid="{00000000-0002-0000-0500-000001000000}">
      <formula1>"Not Started,In Progress,Blocked,Done"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"/>
  <sheetViews>
    <sheetView workbookViewId="0"/>
  </sheetViews>
  <sheetFormatPr defaultRowHeight="13.8"/>
  <cols>
    <col min="1" max="1" width="10" customWidth="1"/>
    <col min="2" max="2" width="18" customWidth="1"/>
    <col min="3" max="3" width="32" customWidth="1"/>
    <col min="4" max="4" width="45" customWidth="1"/>
    <col min="5" max="5" width="18" customWidth="1"/>
    <col min="6" max="6" width="30" customWidth="1"/>
    <col min="7" max="7" width="12" customWidth="1"/>
    <col min="8" max="8" width="14" customWidth="1"/>
    <col min="9" max="9" width="24" customWidth="1"/>
    <col min="10" max="10" width="45" customWidth="1"/>
  </cols>
  <sheetData>
    <row r="1" spans="1:10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 ht="27.6">
      <c r="A2" s="2" t="s">
        <v>377</v>
      </c>
      <c r="B2" s="2" t="s">
        <v>378</v>
      </c>
      <c r="C2" s="2" t="s">
        <v>379</v>
      </c>
      <c r="D2" s="2" t="s">
        <v>380</v>
      </c>
      <c r="E2" s="2" t="s">
        <v>381</v>
      </c>
      <c r="F2" s="2" t="s">
        <v>382</v>
      </c>
      <c r="G2" s="2" t="s">
        <v>54</v>
      </c>
      <c r="H2" s="2" t="s">
        <v>4</v>
      </c>
      <c r="I2" s="2" t="s">
        <v>110</v>
      </c>
      <c r="J2" s="2" t="s">
        <v>383</v>
      </c>
    </row>
    <row r="3" spans="1:10" ht="27.6">
      <c r="A3" s="2" t="s">
        <v>384</v>
      </c>
      <c r="B3" s="2" t="s">
        <v>378</v>
      </c>
      <c r="C3" s="2" t="s">
        <v>385</v>
      </c>
      <c r="D3" s="2" t="s">
        <v>386</v>
      </c>
      <c r="E3" s="2" t="s">
        <v>113</v>
      </c>
      <c r="F3" s="2" t="s">
        <v>387</v>
      </c>
      <c r="G3" s="2" t="s">
        <v>54</v>
      </c>
      <c r="H3" s="2" t="s">
        <v>4</v>
      </c>
      <c r="I3" s="2" t="s">
        <v>116</v>
      </c>
      <c r="J3" s="2" t="s">
        <v>388</v>
      </c>
    </row>
    <row r="4" spans="1:10">
      <c r="A4" s="2" t="s">
        <v>389</v>
      </c>
      <c r="B4" s="2" t="s">
        <v>378</v>
      </c>
      <c r="C4" s="2" t="s">
        <v>390</v>
      </c>
      <c r="D4" s="2" t="s">
        <v>391</v>
      </c>
      <c r="E4" s="2" t="s">
        <v>156</v>
      </c>
      <c r="F4" s="2" t="s">
        <v>392</v>
      </c>
      <c r="G4" s="2" t="s">
        <v>54</v>
      </c>
      <c r="H4" s="2" t="s">
        <v>4</v>
      </c>
      <c r="I4" s="2" t="s">
        <v>393</v>
      </c>
      <c r="J4" s="2" t="s">
        <v>394</v>
      </c>
    </row>
    <row r="5" spans="1:10" ht="27.6">
      <c r="A5" s="2" t="s">
        <v>395</v>
      </c>
      <c r="B5" s="2" t="s">
        <v>396</v>
      </c>
      <c r="C5" s="2" t="s">
        <v>397</v>
      </c>
      <c r="D5" s="2" t="s">
        <v>398</v>
      </c>
      <c r="E5" s="2" t="s">
        <v>113</v>
      </c>
      <c r="F5" s="2" t="s">
        <v>399</v>
      </c>
      <c r="G5" s="2" t="s">
        <v>93</v>
      </c>
      <c r="H5" s="2" t="s">
        <v>4</v>
      </c>
      <c r="I5" s="2" t="s">
        <v>303</v>
      </c>
      <c r="J5" s="2" t="s">
        <v>400</v>
      </c>
    </row>
    <row r="6" spans="1:10" ht="27.6">
      <c r="A6" s="2" t="s">
        <v>401</v>
      </c>
      <c r="B6" s="2" t="s">
        <v>396</v>
      </c>
      <c r="C6" s="2" t="s">
        <v>402</v>
      </c>
      <c r="D6" s="2" t="s">
        <v>403</v>
      </c>
      <c r="E6" s="2" t="s">
        <v>72</v>
      </c>
      <c r="F6" s="2" t="s">
        <v>404</v>
      </c>
      <c r="G6" s="2" t="s">
        <v>93</v>
      </c>
      <c r="H6" s="2" t="s">
        <v>4</v>
      </c>
      <c r="I6" s="2" t="s">
        <v>405</v>
      </c>
      <c r="J6" s="2" t="s">
        <v>406</v>
      </c>
    </row>
    <row r="7" spans="1:10" ht="27.6">
      <c r="A7" s="2" t="s">
        <v>407</v>
      </c>
      <c r="B7" s="2" t="s">
        <v>396</v>
      </c>
      <c r="C7" s="2" t="s">
        <v>408</v>
      </c>
      <c r="D7" s="2" t="s">
        <v>409</v>
      </c>
      <c r="E7" s="2" t="s">
        <v>113</v>
      </c>
      <c r="F7" s="2" t="s">
        <v>410</v>
      </c>
      <c r="G7" s="2" t="s">
        <v>93</v>
      </c>
      <c r="H7" s="2" t="s">
        <v>4</v>
      </c>
      <c r="I7" s="2" t="s">
        <v>411</v>
      </c>
      <c r="J7" s="2" t="s">
        <v>412</v>
      </c>
    </row>
    <row r="8" spans="1:10" ht="27.6">
      <c r="A8" s="2" t="s">
        <v>413</v>
      </c>
      <c r="B8" s="2" t="s">
        <v>414</v>
      </c>
      <c r="C8" s="2" t="s">
        <v>415</v>
      </c>
      <c r="D8" s="2" t="s">
        <v>416</v>
      </c>
      <c r="E8" s="2" t="s">
        <v>221</v>
      </c>
      <c r="F8" s="2" t="s">
        <v>417</v>
      </c>
      <c r="G8" s="2" t="s">
        <v>54</v>
      </c>
      <c r="H8" s="2" t="s">
        <v>4</v>
      </c>
      <c r="I8" s="2" t="s">
        <v>418</v>
      </c>
      <c r="J8" s="2" t="s">
        <v>419</v>
      </c>
    </row>
    <row r="9" spans="1:10" ht="27.6">
      <c r="A9" s="2" t="s">
        <v>420</v>
      </c>
      <c r="B9" s="2" t="s">
        <v>414</v>
      </c>
      <c r="C9" s="2" t="s">
        <v>421</v>
      </c>
      <c r="D9" s="2" t="s">
        <v>422</v>
      </c>
      <c r="E9" s="2" t="s">
        <v>79</v>
      </c>
      <c r="F9" s="2" t="s">
        <v>423</v>
      </c>
      <c r="G9" s="2" t="s">
        <v>54</v>
      </c>
      <c r="H9" s="2" t="s">
        <v>4</v>
      </c>
      <c r="I9" s="2" t="s">
        <v>237</v>
      </c>
      <c r="J9" s="2" t="s">
        <v>424</v>
      </c>
    </row>
    <row r="10" spans="1:10" ht="27.6">
      <c r="A10" s="2" t="s">
        <v>425</v>
      </c>
      <c r="B10" s="2" t="s">
        <v>426</v>
      </c>
      <c r="C10" s="2" t="s">
        <v>427</v>
      </c>
      <c r="D10" s="2" t="s">
        <v>428</v>
      </c>
      <c r="E10" s="2" t="s">
        <v>429</v>
      </c>
      <c r="F10" s="2" t="s">
        <v>430</v>
      </c>
      <c r="G10" s="2" t="s">
        <v>93</v>
      </c>
      <c r="H10" s="2" t="s">
        <v>4</v>
      </c>
      <c r="I10" s="2" t="s">
        <v>431</v>
      </c>
      <c r="J10" s="2" t="s">
        <v>432</v>
      </c>
    </row>
    <row r="11" spans="1:10">
      <c r="A11" s="2" t="s">
        <v>433</v>
      </c>
      <c r="B11" s="2" t="s">
        <v>434</v>
      </c>
      <c r="C11" s="2" t="s">
        <v>435</v>
      </c>
      <c r="D11" s="2" t="s">
        <v>436</v>
      </c>
      <c r="E11" s="2" t="s">
        <v>72</v>
      </c>
      <c r="F11" s="2" t="s">
        <v>437</v>
      </c>
      <c r="G11" s="2" t="s">
        <v>93</v>
      </c>
      <c r="H11" s="2" t="s">
        <v>4</v>
      </c>
      <c r="I11" s="2" t="s">
        <v>210</v>
      </c>
      <c r="J11" s="2" t="s">
        <v>438</v>
      </c>
    </row>
    <row r="12" spans="1:10" ht="27.6">
      <c r="A12" s="2" t="s">
        <v>439</v>
      </c>
      <c r="B12" s="2" t="s">
        <v>440</v>
      </c>
      <c r="C12" s="2" t="s">
        <v>441</v>
      </c>
      <c r="D12" s="2" t="s">
        <v>442</v>
      </c>
      <c r="E12" s="2" t="s">
        <v>72</v>
      </c>
      <c r="F12" s="2" t="s">
        <v>443</v>
      </c>
      <c r="G12" s="2" t="s">
        <v>150</v>
      </c>
      <c r="H12" s="2" t="s">
        <v>4</v>
      </c>
      <c r="I12" s="2" t="s">
        <v>444</v>
      </c>
      <c r="J12" s="2" t="s">
        <v>445</v>
      </c>
    </row>
    <row r="13" spans="1:10" ht="27.6">
      <c r="A13" s="2" t="s">
        <v>446</v>
      </c>
      <c r="B13" s="2" t="s">
        <v>447</v>
      </c>
      <c r="C13" s="2" t="s">
        <v>448</v>
      </c>
      <c r="D13" s="2" t="s">
        <v>449</v>
      </c>
      <c r="E13" s="2" t="s">
        <v>52</v>
      </c>
      <c r="F13" s="2" t="s">
        <v>450</v>
      </c>
      <c r="G13" s="2" t="s">
        <v>54</v>
      </c>
      <c r="H13" s="2" t="s">
        <v>4</v>
      </c>
      <c r="I13" s="2" t="s">
        <v>451</v>
      </c>
      <c r="J13" s="2" t="s">
        <v>452</v>
      </c>
    </row>
  </sheetData>
  <conditionalFormatting sqref="G2:G500">
    <cfRule type="expression" dxfId="14" priority="1">
      <formula>G2="Critical"</formula>
    </cfRule>
    <cfRule type="expression" dxfId="13" priority="2">
      <formula>G2="High"</formula>
    </cfRule>
  </conditionalFormatting>
  <conditionalFormatting sqref="H2:H500">
    <cfRule type="expression" dxfId="12" priority="3">
      <formula>H2="Done"</formula>
    </cfRule>
    <cfRule type="expression" dxfId="11" priority="4">
      <formula>H2="Blocked"</formula>
    </cfRule>
    <cfRule type="expression" dxfId="10" priority="5">
      <formula>H2="In Progress"</formula>
    </cfRule>
  </conditionalFormatting>
  <dataValidations count="2">
    <dataValidation type="list" sqref="G2:G500" xr:uid="{00000000-0002-0000-0600-000000000000}">
      <formula1>"Critical,High,Medium,Low"</formula1>
    </dataValidation>
    <dataValidation type="list" sqref="H2:H500" xr:uid="{00000000-0002-0000-0600-000001000000}">
      <formula1>"Not Started,In Progress,Blocked,Done"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"/>
  <sheetViews>
    <sheetView workbookViewId="0"/>
  </sheetViews>
  <sheetFormatPr defaultRowHeight="13.8"/>
  <cols>
    <col min="1" max="1" width="10" customWidth="1"/>
    <col min="2" max="2" width="18" customWidth="1"/>
    <col min="3" max="3" width="32" customWidth="1"/>
    <col min="4" max="4" width="45" customWidth="1"/>
    <col min="5" max="5" width="18" customWidth="1"/>
    <col min="6" max="6" width="30" customWidth="1"/>
    <col min="7" max="7" width="12" customWidth="1"/>
    <col min="8" max="8" width="14" customWidth="1"/>
    <col min="9" max="9" width="24" customWidth="1"/>
    <col min="10" max="10" width="45" customWidth="1"/>
  </cols>
  <sheetData>
    <row r="1" spans="1:10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 ht="41.4">
      <c r="A2" s="2" t="s">
        <v>453</v>
      </c>
      <c r="B2" s="2" t="s">
        <v>454</v>
      </c>
      <c r="C2" s="2" t="s">
        <v>455</v>
      </c>
      <c r="D2" s="2" t="s">
        <v>456</v>
      </c>
      <c r="E2" s="2" t="s">
        <v>52</v>
      </c>
      <c r="F2" s="2" t="s">
        <v>457</v>
      </c>
      <c r="G2" s="2" t="s">
        <v>54</v>
      </c>
      <c r="H2" s="2" t="s">
        <v>4</v>
      </c>
      <c r="I2" s="2" t="s">
        <v>458</v>
      </c>
      <c r="J2" s="2" t="s">
        <v>459</v>
      </c>
    </row>
    <row r="3" spans="1:10" ht="27.6">
      <c r="A3" s="2" t="s">
        <v>460</v>
      </c>
      <c r="B3" s="2" t="s">
        <v>461</v>
      </c>
      <c r="C3" s="2" t="s">
        <v>462</v>
      </c>
      <c r="D3" s="2" t="s">
        <v>463</v>
      </c>
      <c r="E3" s="2" t="s">
        <v>464</v>
      </c>
      <c r="F3" s="2" t="s">
        <v>465</v>
      </c>
      <c r="G3" s="2" t="s">
        <v>54</v>
      </c>
      <c r="H3" s="2" t="s">
        <v>4</v>
      </c>
      <c r="I3" s="2" t="s">
        <v>453</v>
      </c>
      <c r="J3" s="2" t="s">
        <v>466</v>
      </c>
    </row>
    <row r="4" spans="1:10" ht="27.6">
      <c r="A4" s="2" t="s">
        <v>467</v>
      </c>
      <c r="B4" s="2" t="s">
        <v>468</v>
      </c>
      <c r="C4" s="2" t="s">
        <v>469</v>
      </c>
      <c r="D4" s="2" t="s">
        <v>470</v>
      </c>
      <c r="E4" s="2" t="s">
        <v>52</v>
      </c>
      <c r="F4" s="2" t="s">
        <v>471</v>
      </c>
      <c r="G4" s="2" t="s">
        <v>93</v>
      </c>
      <c r="H4" s="2" t="s">
        <v>4</v>
      </c>
      <c r="I4" s="2" t="s">
        <v>453</v>
      </c>
      <c r="J4" s="2" t="s">
        <v>472</v>
      </c>
    </row>
    <row r="5" spans="1:10" ht="27.6">
      <c r="A5" s="2" t="s">
        <v>473</v>
      </c>
      <c r="B5" s="2" t="s">
        <v>474</v>
      </c>
      <c r="C5" s="2" t="s">
        <v>475</v>
      </c>
      <c r="D5" s="2" t="s">
        <v>476</v>
      </c>
      <c r="E5" s="2" t="s">
        <v>79</v>
      </c>
      <c r="F5" s="2" t="s">
        <v>477</v>
      </c>
      <c r="G5" s="2" t="s">
        <v>54</v>
      </c>
      <c r="H5" s="2" t="s">
        <v>4</v>
      </c>
      <c r="I5" s="2" t="s">
        <v>243</v>
      </c>
      <c r="J5" s="2" t="s">
        <v>478</v>
      </c>
    </row>
    <row r="6" spans="1:10" ht="27.6">
      <c r="A6" s="2" t="s">
        <v>479</v>
      </c>
      <c r="B6" s="2" t="s">
        <v>480</v>
      </c>
      <c r="C6" s="2" t="s">
        <v>481</v>
      </c>
      <c r="D6" s="2" t="s">
        <v>482</v>
      </c>
      <c r="E6" s="2" t="s">
        <v>91</v>
      </c>
      <c r="F6" s="2" t="s">
        <v>483</v>
      </c>
      <c r="G6" s="2" t="s">
        <v>150</v>
      </c>
      <c r="H6" s="2" t="s">
        <v>4</v>
      </c>
      <c r="I6" s="2" t="s">
        <v>133</v>
      </c>
      <c r="J6" s="2" t="s">
        <v>484</v>
      </c>
    </row>
    <row r="7" spans="1:10" ht="27.6">
      <c r="A7" s="2" t="s">
        <v>485</v>
      </c>
      <c r="B7" s="2" t="s">
        <v>486</v>
      </c>
      <c r="C7" s="2" t="s">
        <v>487</v>
      </c>
      <c r="D7" s="2" t="s">
        <v>488</v>
      </c>
      <c r="E7" s="2" t="s">
        <v>489</v>
      </c>
      <c r="F7" s="2" t="s">
        <v>490</v>
      </c>
      <c r="G7" s="2" t="s">
        <v>54</v>
      </c>
      <c r="H7" s="2" t="s">
        <v>4</v>
      </c>
      <c r="I7" s="2" t="s">
        <v>491</v>
      </c>
      <c r="J7" s="2" t="s">
        <v>492</v>
      </c>
    </row>
    <row r="8" spans="1:10" ht="27.6">
      <c r="A8" s="2" t="s">
        <v>493</v>
      </c>
      <c r="B8" s="2" t="s">
        <v>276</v>
      </c>
      <c r="C8" s="2" t="s">
        <v>494</v>
      </c>
      <c r="D8" s="2" t="s">
        <v>495</v>
      </c>
      <c r="E8" s="2" t="s">
        <v>52</v>
      </c>
      <c r="F8" s="2" t="s">
        <v>279</v>
      </c>
      <c r="G8" s="2" t="s">
        <v>93</v>
      </c>
      <c r="H8" s="2" t="s">
        <v>4</v>
      </c>
      <c r="I8" s="2" t="s">
        <v>275</v>
      </c>
      <c r="J8" s="2" t="s">
        <v>496</v>
      </c>
    </row>
    <row r="9" spans="1:10" ht="27.6">
      <c r="A9" s="2" t="s">
        <v>497</v>
      </c>
      <c r="B9" s="2" t="s">
        <v>498</v>
      </c>
      <c r="C9" s="2" t="s">
        <v>499</v>
      </c>
      <c r="D9" s="2" t="s">
        <v>500</v>
      </c>
      <c r="E9" s="2" t="s">
        <v>489</v>
      </c>
      <c r="F9" s="2" t="s">
        <v>501</v>
      </c>
      <c r="G9" s="2" t="s">
        <v>54</v>
      </c>
      <c r="H9" s="2" t="s">
        <v>4</v>
      </c>
      <c r="I9" s="2" t="s">
        <v>502</v>
      </c>
      <c r="J9" s="2" t="s">
        <v>503</v>
      </c>
    </row>
    <row r="10" spans="1:10" ht="27.6">
      <c r="A10" s="2" t="s">
        <v>504</v>
      </c>
      <c r="B10" s="2" t="s">
        <v>505</v>
      </c>
      <c r="C10" s="2" t="s">
        <v>506</v>
      </c>
      <c r="D10" s="2" t="s">
        <v>507</v>
      </c>
      <c r="E10" s="2" t="s">
        <v>52</v>
      </c>
      <c r="F10" s="2" t="s">
        <v>508</v>
      </c>
      <c r="G10" s="2" t="s">
        <v>54</v>
      </c>
      <c r="H10" s="2" t="s">
        <v>4</v>
      </c>
      <c r="I10" s="2" t="s">
        <v>497</v>
      </c>
      <c r="J10" s="2" t="s">
        <v>509</v>
      </c>
    </row>
    <row r="11" spans="1:10" ht="27.6">
      <c r="A11" s="2" t="s">
        <v>510</v>
      </c>
      <c r="B11" s="2" t="s">
        <v>511</v>
      </c>
      <c r="C11" s="2" t="s">
        <v>512</v>
      </c>
      <c r="D11" s="2" t="s">
        <v>513</v>
      </c>
      <c r="E11" s="2" t="s">
        <v>489</v>
      </c>
      <c r="F11" s="2" t="s">
        <v>514</v>
      </c>
      <c r="G11" s="2" t="s">
        <v>54</v>
      </c>
      <c r="H11" s="2" t="s">
        <v>4</v>
      </c>
      <c r="I11" s="2" t="s">
        <v>515</v>
      </c>
      <c r="J11" s="2" t="s">
        <v>516</v>
      </c>
    </row>
  </sheetData>
  <conditionalFormatting sqref="G2:G500">
    <cfRule type="expression" dxfId="9" priority="1">
      <formula>G2="Critical"</formula>
    </cfRule>
    <cfRule type="expression" dxfId="8" priority="2">
      <formula>G2="High"</formula>
    </cfRule>
  </conditionalFormatting>
  <conditionalFormatting sqref="H2:H500">
    <cfRule type="expression" dxfId="7" priority="3">
      <formula>H2="Done"</formula>
    </cfRule>
    <cfRule type="expression" dxfId="6" priority="4">
      <formula>H2="Blocked"</formula>
    </cfRule>
    <cfRule type="expression" dxfId="5" priority="5">
      <formula>H2="In Progress"</formula>
    </cfRule>
  </conditionalFormatting>
  <dataValidations count="2">
    <dataValidation type="list" sqref="G2:G500" xr:uid="{00000000-0002-0000-0700-000000000000}">
      <formula1>"Critical,High,Medium,Low"</formula1>
    </dataValidation>
    <dataValidation type="list" sqref="H2:H500" xr:uid="{00000000-0002-0000-0700-000001000000}">
      <formula1>"Not Started,In Progress,Blocked,Done"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"/>
  <sheetViews>
    <sheetView workbookViewId="0"/>
  </sheetViews>
  <sheetFormatPr defaultRowHeight="13.8"/>
  <cols>
    <col min="1" max="1" width="10" customWidth="1"/>
    <col min="2" max="2" width="18" customWidth="1"/>
    <col min="3" max="3" width="32" customWidth="1"/>
    <col min="4" max="4" width="45" customWidth="1"/>
    <col min="5" max="5" width="18" customWidth="1"/>
    <col min="6" max="6" width="30" customWidth="1"/>
    <col min="7" max="7" width="12" customWidth="1"/>
    <col min="8" max="8" width="14" customWidth="1"/>
    <col min="9" max="9" width="24" customWidth="1"/>
    <col min="10" max="10" width="45" customWidth="1"/>
  </cols>
  <sheetData>
    <row r="1" spans="1:10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 ht="27.6">
      <c r="A2" s="2" t="s">
        <v>517</v>
      </c>
      <c r="B2" s="2" t="s">
        <v>518</v>
      </c>
      <c r="C2" s="2" t="s">
        <v>519</v>
      </c>
      <c r="D2" s="2" t="s">
        <v>520</v>
      </c>
      <c r="E2" s="2" t="s">
        <v>72</v>
      </c>
      <c r="F2" s="2" t="s">
        <v>521</v>
      </c>
      <c r="G2" s="2" t="s">
        <v>93</v>
      </c>
      <c r="H2" s="2" t="s">
        <v>4</v>
      </c>
      <c r="I2" s="2"/>
      <c r="J2" s="2" t="s">
        <v>522</v>
      </c>
    </row>
    <row r="3" spans="1:10" ht="27.6">
      <c r="A3" s="2" t="s">
        <v>523</v>
      </c>
      <c r="B3" s="2" t="s">
        <v>518</v>
      </c>
      <c r="C3" s="2" t="s">
        <v>524</v>
      </c>
      <c r="D3" s="2" t="s">
        <v>525</v>
      </c>
      <c r="E3" s="2" t="s">
        <v>72</v>
      </c>
      <c r="F3" s="2" t="s">
        <v>521</v>
      </c>
      <c r="G3" s="2" t="s">
        <v>54</v>
      </c>
      <c r="H3" s="2" t="s">
        <v>4</v>
      </c>
      <c r="I3" s="2"/>
      <c r="J3" s="2" t="s">
        <v>526</v>
      </c>
    </row>
    <row r="4" spans="1:10" ht="27.6">
      <c r="A4" s="2" t="s">
        <v>527</v>
      </c>
      <c r="B4" s="2" t="s">
        <v>518</v>
      </c>
      <c r="C4" s="2" t="s">
        <v>528</v>
      </c>
      <c r="D4" s="2" t="s">
        <v>529</v>
      </c>
      <c r="E4" s="2" t="s">
        <v>530</v>
      </c>
      <c r="F4" s="2" t="s">
        <v>531</v>
      </c>
      <c r="G4" s="2" t="s">
        <v>93</v>
      </c>
      <c r="H4" s="2" t="s">
        <v>4</v>
      </c>
      <c r="I4" s="2"/>
      <c r="J4" s="2" t="s">
        <v>532</v>
      </c>
    </row>
    <row r="5" spans="1:10" ht="27.6">
      <c r="A5" s="2" t="s">
        <v>533</v>
      </c>
      <c r="B5" s="2" t="s">
        <v>518</v>
      </c>
      <c r="C5" s="2" t="s">
        <v>534</v>
      </c>
      <c r="D5" s="2" t="s">
        <v>535</v>
      </c>
      <c r="E5" s="2" t="s">
        <v>536</v>
      </c>
      <c r="F5" s="2" t="s">
        <v>521</v>
      </c>
      <c r="G5" s="2" t="s">
        <v>93</v>
      </c>
      <c r="H5" s="2" t="s">
        <v>4</v>
      </c>
      <c r="I5" s="2"/>
      <c r="J5" s="2" t="s">
        <v>537</v>
      </c>
    </row>
    <row r="6" spans="1:10" ht="27.6">
      <c r="A6" s="2" t="s">
        <v>538</v>
      </c>
      <c r="B6" s="2" t="s">
        <v>539</v>
      </c>
      <c r="C6" s="2" t="s">
        <v>540</v>
      </c>
      <c r="D6" s="2" t="s">
        <v>541</v>
      </c>
      <c r="E6" s="2" t="s">
        <v>79</v>
      </c>
      <c r="F6" s="2" t="s">
        <v>542</v>
      </c>
      <c r="G6" s="2" t="s">
        <v>54</v>
      </c>
      <c r="H6" s="2" t="s">
        <v>4</v>
      </c>
      <c r="I6" s="2"/>
      <c r="J6" s="2" t="s">
        <v>543</v>
      </c>
    </row>
    <row r="7" spans="1:10">
      <c r="A7" s="2" t="s">
        <v>544</v>
      </c>
      <c r="B7" s="2" t="s">
        <v>539</v>
      </c>
      <c r="C7" s="2" t="s">
        <v>545</v>
      </c>
      <c r="D7" s="2" t="s">
        <v>546</v>
      </c>
      <c r="E7" s="2" t="s">
        <v>547</v>
      </c>
      <c r="F7" s="2" t="s">
        <v>548</v>
      </c>
      <c r="G7" s="2" t="s">
        <v>150</v>
      </c>
      <c r="H7" s="2" t="s">
        <v>4</v>
      </c>
      <c r="I7" s="2"/>
      <c r="J7" s="2" t="s">
        <v>549</v>
      </c>
    </row>
    <row r="8" spans="1:10" ht="27.6">
      <c r="A8" s="2" t="s">
        <v>550</v>
      </c>
      <c r="B8" s="2" t="s">
        <v>551</v>
      </c>
      <c r="C8" s="2" t="s">
        <v>552</v>
      </c>
      <c r="D8" s="2" t="s">
        <v>553</v>
      </c>
      <c r="E8" s="2" t="s">
        <v>91</v>
      </c>
      <c r="F8" s="2" t="s">
        <v>554</v>
      </c>
      <c r="G8" s="2" t="s">
        <v>150</v>
      </c>
      <c r="H8" s="2" t="s">
        <v>4</v>
      </c>
      <c r="I8" s="2"/>
      <c r="J8" s="2" t="s">
        <v>555</v>
      </c>
    </row>
    <row r="9" spans="1:10" ht="27.6">
      <c r="A9" s="2" t="s">
        <v>556</v>
      </c>
      <c r="B9" s="2" t="s">
        <v>557</v>
      </c>
      <c r="C9" s="2" t="s">
        <v>558</v>
      </c>
      <c r="D9" s="2" t="s">
        <v>559</v>
      </c>
      <c r="E9" s="2" t="s">
        <v>560</v>
      </c>
      <c r="F9" s="2" t="s">
        <v>561</v>
      </c>
      <c r="G9" s="2" t="s">
        <v>93</v>
      </c>
      <c r="H9" s="2" t="s">
        <v>4</v>
      </c>
      <c r="I9" s="2"/>
      <c r="J9" s="2" t="s">
        <v>562</v>
      </c>
    </row>
    <row r="10" spans="1:10" ht="27.6">
      <c r="A10" s="2" t="s">
        <v>563</v>
      </c>
      <c r="B10" s="2" t="s">
        <v>564</v>
      </c>
      <c r="C10" s="2" t="s">
        <v>565</v>
      </c>
      <c r="D10" s="2" t="s">
        <v>566</v>
      </c>
      <c r="E10" s="2" t="s">
        <v>567</v>
      </c>
      <c r="F10" s="2" t="s">
        <v>568</v>
      </c>
      <c r="G10" s="2" t="s">
        <v>150</v>
      </c>
      <c r="H10" s="2" t="s">
        <v>4</v>
      </c>
      <c r="I10" s="2"/>
      <c r="J10" s="2" t="s">
        <v>569</v>
      </c>
    </row>
    <row r="11" spans="1:10" ht="27.6">
      <c r="A11" s="2" t="s">
        <v>570</v>
      </c>
      <c r="B11" s="2" t="s">
        <v>15</v>
      </c>
      <c r="C11" s="2" t="s">
        <v>571</v>
      </c>
      <c r="D11" s="2" t="s">
        <v>572</v>
      </c>
      <c r="E11" s="2" t="s">
        <v>489</v>
      </c>
      <c r="F11" s="2" t="s">
        <v>573</v>
      </c>
      <c r="G11" s="2" t="s">
        <v>93</v>
      </c>
      <c r="H11" s="2" t="s">
        <v>4</v>
      </c>
      <c r="I11" s="2"/>
      <c r="J11" s="2" t="s">
        <v>574</v>
      </c>
    </row>
  </sheetData>
  <conditionalFormatting sqref="G2:G500">
    <cfRule type="expression" dxfId="4" priority="1">
      <formula>G2="Critical"</formula>
    </cfRule>
    <cfRule type="expression" dxfId="3" priority="2">
      <formula>G2="High"</formula>
    </cfRule>
  </conditionalFormatting>
  <conditionalFormatting sqref="H2:H500">
    <cfRule type="expression" dxfId="2" priority="3">
      <formula>H2="Done"</formula>
    </cfRule>
    <cfRule type="expression" dxfId="1" priority="4">
      <formula>H2="Blocked"</formula>
    </cfRule>
    <cfRule type="expression" dxfId="0" priority="5">
      <formula>H2="In Progress"</formula>
    </cfRule>
  </conditionalFormatting>
  <dataValidations count="2">
    <dataValidation type="list" sqref="G2:G500" xr:uid="{00000000-0002-0000-0800-000000000000}">
      <formula1>"Critical,High,Medium,Low"</formula1>
    </dataValidation>
    <dataValidation type="list" sqref="H2:H500" xr:uid="{00000000-0002-0000-0800-000001000000}">
      <formula1>"Not Started,In Progress,Blocked,Done"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Master Roadmap</vt:lpstr>
      <vt:lpstr>Backend Build</vt:lpstr>
      <vt:lpstr>UI Screens</vt:lpstr>
      <vt:lpstr>Workflow Logic</vt:lpstr>
      <vt:lpstr>Security Checklist</vt:lpstr>
      <vt:lpstr>Testing QA</vt:lpstr>
      <vt:lpstr>Deployment</vt:lpstr>
      <vt:lpstr>Missing Decisions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Read AL Tabanjeh</cp:lastModifiedBy>
  <dcterms:created xsi:type="dcterms:W3CDTF">2026-05-04T08:23:13Z</dcterms:created>
  <dcterms:modified xsi:type="dcterms:W3CDTF">2026-05-04T08:38:11Z</dcterms:modified>
</cp:coreProperties>
</file>